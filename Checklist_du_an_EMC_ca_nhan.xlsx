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project\EMC_prj\"/>
    </mc:Choice>
  </mc:AlternateContent>
  <xr:revisionPtr revIDLastSave="0" documentId="13_ncr:1_{325DC0A8-27E3-413A-A87F-4528658235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ổng quan" sheetId="1" r:id="rId1"/>
    <sheet name="Checklist" sheetId="2" r:id="rId2"/>
    <sheet name="Mốc kiểm tra" sheetId="3" r:id="rId3"/>
    <sheet name="Nhật ký minh chứng" sheetId="4" r:id="rId4"/>
    <sheet name="Thông số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4" l="1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N134" i="2"/>
  <c r="H134" i="2"/>
  <c r="N133" i="2"/>
  <c r="H133" i="2"/>
  <c r="N132" i="2"/>
  <c r="H132" i="2"/>
  <c r="N131" i="2"/>
  <c r="H131" i="2"/>
  <c r="N130" i="2"/>
  <c r="H130" i="2"/>
  <c r="N129" i="2"/>
  <c r="H129" i="2"/>
  <c r="N128" i="2"/>
  <c r="H128" i="2"/>
  <c r="N127" i="2"/>
  <c r="H127" i="2"/>
  <c r="N126" i="2"/>
  <c r="H126" i="2"/>
  <c r="N125" i="2"/>
  <c r="H125" i="2"/>
  <c r="N124" i="2"/>
  <c r="H124" i="2"/>
  <c r="N123" i="2"/>
  <c r="H123" i="2"/>
  <c r="N122" i="2"/>
  <c r="H122" i="2"/>
  <c r="N121" i="2"/>
  <c r="H121" i="2"/>
  <c r="N120" i="2"/>
  <c r="H120" i="2"/>
  <c r="N119" i="2"/>
  <c r="H119" i="2"/>
  <c r="N118" i="2"/>
  <c r="H118" i="2"/>
  <c r="N117" i="2"/>
  <c r="H117" i="2"/>
  <c r="N116" i="2"/>
  <c r="H116" i="2"/>
  <c r="N115" i="2"/>
  <c r="H115" i="2"/>
  <c r="N114" i="2"/>
  <c r="H114" i="2"/>
  <c r="N113" i="2"/>
  <c r="H113" i="2"/>
  <c r="N112" i="2"/>
  <c r="H112" i="2"/>
  <c r="N111" i="2"/>
  <c r="H111" i="2"/>
  <c r="N110" i="2"/>
  <c r="H110" i="2"/>
  <c r="N109" i="2"/>
  <c r="H109" i="2"/>
  <c r="N108" i="2"/>
  <c r="H108" i="2"/>
  <c r="N107" i="2"/>
  <c r="H107" i="2"/>
  <c r="N106" i="2"/>
  <c r="H106" i="2"/>
  <c r="N105" i="2"/>
  <c r="H105" i="2"/>
  <c r="N104" i="2"/>
  <c r="H104" i="2"/>
  <c r="N103" i="2"/>
  <c r="H103" i="2"/>
  <c r="N102" i="2"/>
  <c r="H102" i="2"/>
  <c r="N101" i="2"/>
  <c r="H101" i="2"/>
  <c r="N100" i="2"/>
  <c r="H100" i="2"/>
  <c r="N99" i="2"/>
  <c r="H99" i="2"/>
  <c r="N98" i="2"/>
  <c r="H98" i="2"/>
  <c r="N97" i="2"/>
  <c r="H97" i="2"/>
  <c r="N96" i="2"/>
  <c r="H96" i="2"/>
  <c r="N95" i="2"/>
  <c r="H95" i="2"/>
  <c r="N94" i="2"/>
  <c r="H94" i="2"/>
  <c r="N93" i="2"/>
  <c r="H93" i="2"/>
  <c r="N92" i="2"/>
  <c r="H92" i="2"/>
  <c r="N91" i="2"/>
  <c r="H91" i="2"/>
  <c r="N90" i="2"/>
  <c r="H90" i="2"/>
  <c r="N89" i="2"/>
  <c r="H89" i="2"/>
  <c r="N88" i="2"/>
  <c r="H88" i="2"/>
  <c r="N87" i="2"/>
  <c r="H87" i="2"/>
  <c r="N86" i="2"/>
  <c r="H86" i="2"/>
  <c r="N85" i="2"/>
  <c r="H85" i="2"/>
  <c r="N84" i="2"/>
  <c r="H84" i="2"/>
  <c r="N83" i="2"/>
  <c r="H83" i="2"/>
  <c r="N82" i="2"/>
  <c r="H82" i="2"/>
  <c r="N81" i="2"/>
  <c r="H81" i="2"/>
  <c r="N80" i="2"/>
  <c r="H80" i="2"/>
  <c r="N79" i="2"/>
  <c r="H79" i="2"/>
  <c r="N78" i="2"/>
  <c r="H78" i="2"/>
  <c r="N77" i="2"/>
  <c r="H77" i="2"/>
  <c r="N76" i="2"/>
  <c r="H76" i="2"/>
  <c r="N75" i="2"/>
  <c r="H75" i="2"/>
  <c r="N74" i="2"/>
  <c r="H74" i="2"/>
  <c r="N73" i="2"/>
  <c r="H73" i="2"/>
  <c r="N72" i="2"/>
  <c r="H72" i="2"/>
  <c r="N71" i="2"/>
  <c r="H71" i="2"/>
  <c r="N70" i="2"/>
  <c r="H70" i="2"/>
  <c r="N69" i="2"/>
  <c r="H69" i="2"/>
  <c r="N68" i="2"/>
  <c r="H68" i="2"/>
  <c r="N67" i="2"/>
  <c r="H67" i="2"/>
  <c r="N66" i="2"/>
  <c r="H66" i="2"/>
  <c r="N65" i="2"/>
  <c r="H65" i="2"/>
  <c r="N64" i="2"/>
  <c r="H64" i="2"/>
  <c r="N63" i="2"/>
  <c r="H63" i="2"/>
  <c r="N62" i="2"/>
  <c r="H62" i="2"/>
  <c r="N61" i="2"/>
  <c r="H61" i="2"/>
  <c r="N60" i="2"/>
  <c r="H60" i="2"/>
  <c r="N59" i="2"/>
  <c r="H59" i="2"/>
  <c r="N58" i="2"/>
  <c r="H58" i="2"/>
  <c r="N57" i="2"/>
  <c r="H57" i="2"/>
  <c r="N56" i="2"/>
  <c r="H56" i="2"/>
  <c r="N55" i="2"/>
  <c r="H55" i="2"/>
  <c r="N54" i="2"/>
  <c r="H54" i="2"/>
  <c r="N53" i="2"/>
  <c r="H53" i="2"/>
  <c r="N52" i="2"/>
  <c r="H52" i="2"/>
  <c r="N51" i="2"/>
  <c r="H51" i="2"/>
  <c r="N50" i="2"/>
  <c r="H50" i="2"/>
  <c r="N49" i="2"/>
  <c r="H49" i="2"/>
  <c r="N48" i="2"/>
  <c r="H48" i="2"/>
  <c r="N47" i="2"/>
  <c r="H47" i="2"/>
  <c r="N46" i="2"/>
  <c r="H46" i="2"/>
  <c r="N45" i="2"/>
  <c r="H45" i="2"/>
  <c r="N44" i="2"/>
  <c r="H44" i="2"/>
  <c r="N43" i="2"/>
  <c r="H43" i="2"/>
  <c r="N42" i="2"/>
  <c r="H42" i="2"/>
  <c r="N41" i="2"/>
  <c r="H41" i="2"/>
  <c r="N40" i="2"/>
  <c r="H40" i="2"/>
  <c r="N39" i="2"/>
  <c r="H39" i="2"/>
  <c r="N38" i="2"/>
  <c r="H38" i="2"/>
  <c r="N37" i="2"/>
  <c r="H37" i="2"/>
  <c r="N36" i="2"/>
  <c r="H36" i="2"/>
  <c r="N35" i="2"/>
  <c r="H35" i="2"/>
  <c r="N34" i="2"/>
  <c r="H34" i="2"/>
  <c r="N33" i="2"/>
  <c r="H33" i="2"/>
  <c r="N32" i="2"/>
  <c r="H32" i="2"/>
  <c r="N31" i="2"/>
  <c r="H31" i="2"/>
  <c r="N30" i="2"/>
  <c r="H30" i="2"/>
  <c r="N29" i="2"/>
  <c r="H29" i="2"/>
  <c r="N28" i="2"/>
  <c r="H28" i="2"/>
  <c r="N27" i="2"/>
  <c r="H27" i="2"/>
  <c r="N26" i="2"/>
  <c r="H26" i="2"/>
  <c r="N25" i="2"/>
  <c r="H25" i="2"/>
  <c r="N24" i="2"/>
  <c r="H24" i="2"/>
  <c r="N23" i="2"/>
  <c r="H23" i="2"/>
  <c r="N22" i="2"/>
  <c r="H22" i="2"/>
  <c r="N21" i="2"/>
  <c r="H21" i="2"/>
  <c r="N20" i="2"/>
  <c r="H20" i="2"/>
  <c r="N19" i="2"/>
  <c r="H19" i="2"/>
  <c r="N18" i="2"/>
  <c r="H18" i="2"/>
  <c r="N17" i="2"/>
  <c r="H17" i="2"/>
  <c r="N16" i="2"/>
  <c r="H16" i="2"/>
  <c r="N15" i="2"/>
  <c r="H15" i="2"/>
  <c r="N14" i="2"/>
  <c r="H14" i="2"/>
  <c r="N13" i="2"/>
  <c r="H13" i="2"/>
  <c r="N12" i="2"/>
  <c r="H12" i="2"/>
  <c r="N11" i="2"/>
  <c r="H11" i="2"/>
  <c r="N10" i="2"/>
  <c r="H10" i="2"/>
  <c r="N9" i="2"/>
  <c r="H9" i="2"/>
  <c r="N8" i="2"/>
  <c r="H8" i="2"/>
  <c r="N7" i="2"/>
  <c r="H7" i="2"/>
  <c r="N6" i="2"/>
  <c r="H6" i="2"/>
  <c r="N5" i="2"/>
  <c r="H5" i="2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D20" i="1"/>
  <c r="C20" i="1"/>
  <c r="B20" i="1"/>
  <c r="C17" i="1"/>
  <c r="G13" i="1"/>
  <c r="E13" i="1"/>
  <c r="C13" i="1"/>
  <c r="A13" i="1"/>
  <c r="E20" i="1" l="1"/>
  <c r="C16" i="1"/>
</calcChain>
</file>

<file path=xl/sharedStrings.xml><?xml version="1.0" encoding="utf-8"?>
<sst xmlns="http://schemas.openxmlformats.org/spreadsheetml/2006/main" count="1597" uniqueCount="774">
  <si>
    <t>BẢNG ĐIỀU KHIỂN TIẾN ĐỘ DỰ ÁN EMC - 1 NGƯỜI THỰC HIỆN</t>
  </si>
  <si>
    <t>THÔNG TIN KẾ HOẠCH</t>
  </si>
  <si>
    <t>Sinh viên</t>
  </si>
  <si>
    <t>Nguyễn An Ninh</t>
  </si>
  <si>
    <t>Tên dự án</t>
  </si>
  <si>
    <t>Thiết bị đo nhiệt độ cơ thể dùng IC rời, Wi-Fi 2,4 GHz và đánh giá miễn nhiễm EMC</t>
  </si>
  <si>
    <t>Ngày bắt đầu Tuần 8</t>
  </si>
  <si>
    <t>Phiên bản</t>
  </si>
  <si>
    <t>v1.0</t>
  </si>
  <si>
    <t>TÌNH TRẠNG HIỆN TẠI</t>
  </si>
  <si>
    <t>Tổng đầu việc</t>
  </si>
  <si>
    <t>Đã hoàn thành</t>
  </si>
  <si>
    <t>Đang làm</t>
  </si>
  <si>
    <t>Bị chặn</t>
  </si>
  <si>
    <t>Tiến độ tổng thể</t>
  </si>
  <si>
    <t>Không áp dụng</t>
  </si>
  <si>
    <t>Giai đoạn</t>
  </si>
  <si>
    <t>Tổng việc</t>
  </si>
  <si>
    <t>Hoàn thành</t>
  </si>
  <si>
    <t>Tiến độ</t>
  </si>
  <si>
    <t>CHÚ GIẢI TRẠNG THÁI</t>
  </si>
  <si>
    <t>0. Quản lý cá nhân</t>
  </si>
  <si>
    <t>☐</t>
  </si>
  <si>
    <t>Chưa bắt đầu</t>
  </si>
  <si>
    <t>1. Chốt yêu cầu</t>
  </si>
  <si>
    <t>◐</t>
  </si>
  <si>
    <t>2. Tiêu chuẩn và thử nghiệm</t>
  </si>
  <si>
    <t>⚠</t>
  </si>
  <si>
    <t>3. Kiến trúc và linh kiện</t>
  </si>
  <si>
    <t>☑</t>
  </si>
  <si>
    <t>4. Schematic nguồn</t>
  </si>
  <si>
    <t>—</t>
  </si>
  <si>
    <t>5. Schematic chức năng</t>
  </si>
  <si>
    <t>6. PCB và đặt sản xuất</t>
  </si>
  <si>
    <t>7. Firmware và ghi dữ liệu</t>
  </si>
  <si>
    <t>8. Lắp ráp và bring-up</t>
  </si>
  <si>
    <t>9. Đo cơ sở và hiệu chuẩn</t>
  </si>
  <si>
    <t>10. Thử EMC và cải tiến</t>
  </si>
  <si>
    <t>11. Báo cáo và bảo vệ</t>
  </si>
  <si>
    <t>CHECKLIST DỰ ÁN EMC CÁ NHÂN - THIẾT BỊ ĐO NHIỆT ĐỘ KHÔNG DÙNG MODULE</t>
  </si>
  <si>
    <t>Cập nhật cột Trạng thái, Hạn cá nhân, Nơi lưu/File và Ghi chú. Màu vàng là ô cần nhập; % hoàn thành và số ngày quá hạn tự tính.</t>
  </si>
  <si>
    <t>ID</t>
  </si>
  <si>
    <t>Đầu việc cụ thể</t>
  </si>
  <si>
    <t>Tiêu chí hoàn thành</t>
  </si>
  <si>
    <t>Tuần</t>
  </si>
  <si>
    <t>Ưu tiên</t>
  </si>
  <si>
    <t>Trạng thái</t>
  </si>
  <si>
    <t>% HT</t>
  </si>
  <si>
    <t>Hạn cá nhân</t>
  </si>
  <si>
    <t>Minh chứng cần lưu</t>
  </si>
  <si>
    <t>Phụ thuộc</t>
  </si>
  <si>
    <t>Nơi lưu/File</t>
  </si>
  <si>
    <t>Ghi chú</t>
  </si>
  <si>
    <t>Quá hạn (ngày)</t>
  </si>
  <si>
    <t>QL-01</t>
  </si>
  <si>
    <t>Tạo cấu trúc thư mục dự án</t>
  </si>
  <si>
    <t>Có các thư mục 01_Yeu_cau, 02_Datasheet, 03_KiCad, 04_Firmware, 05_Do_kiem, 06_Bao_cao</t>
  </si>
  <si>
    <t>8</t>
  </si>
  <si>
    <t>Cao</t>
  </si>
  <si>
    <t>☐ Chưa bắt đầu</t>
  </si>
  <si>
    <t>Ảnh cấu trúc thư mục</t>
  </si>
  <si>
    <t>-</t>
  </si>
  <si>
    <t>QL-02</t>
  </si>
  <si>
    <t>Khởi tạo Git và file README</t>
  </si>
  <si>
    <t>Repository có commit đầu tiên, mô tả mục tiêu và cách tổ chức file</t>
  </si>
  <si>
    <t>Ảnh git log và README</t>
  </si>
  <si>
    <t>QL-03</t>
  </si>
  <si>
    <t>Đặt quy tắc tên file và phiên bản</t>
  </si>
  <si>
    <t>Có quy tắc YYYYMMDD_TenNoiDung_v01 và áp dụng thống nhất</t>
  </si>
  <si>
    <t>Trung bình</t>
  </si>
  <si>
    <t>File README</t>
  </si>
  <si>
    <t>QL-04</t>
  </si>
  <si>
    <t>Tạo nhật ký công việc hằng ngày</t>
  </si>
  <si>
    <t>Mỗi buổi có ngày, việc đã làm, kết quả, lỗi và việc tiếp theo</t>
  </si>
  <si>
    <t>8-15</t>
  </si>
  <si>
    <t>File nhật ký</t>
  </si>
  <si>
    <t>QL-05</t>
  </si>
  <si>
    <t>Thiết lập sao lưu định kỳ</t>
  </si>
  <si>
    <t>Có ít nhất hai bản sao ở máy và dịch vụ lưu trữ/Git</t>
  </si>
  <si>
    <t>Ảnh nơi sao lưu</t>
  </si>
  <si>
    <t>YC-01</t>
  </si>
  <si>
    <t>Đọc lại toàn bộ đề bài EMC</t>
  </si>
  <si>
    <t>Tóm tắt được thiết bị, nguồn, truyền thông, khoảng cách và yêu cầu miễn nhiễm</t>
  </si>
  <si>
    <t>Bản tóm tắt 1 trang</t>
  </si>
  <si>
    <t>YC-02</t>
  </si>
  <si>
    <t>Xác nhận ý nghĩa công suất 2 W</t>
  </si>
  <si>
    <t>Có câu trả lời của giảng viên: công suất RF hay tổng công suất thiết bị</t>
  </si>
  <si>
    <t>8-9</t>
  </si>
  <si>
    <t>Ảnh/email/ghi chú trao đổi</t>
  </si>
  <si>
    <t>YC-03</t>
  </si>
  <si>
    <t>Xác nhận phạm vi cấm module</t>
  </si>
  <si>
    <t>Làm rõ có cấm cả module SMD hay chỉ bo DevKit/module cắm</t>
  </si>
  <si>
    <t>Ghi chú xác nhận</t>
  </si>
  <si>
    <t>YC-04</t>
  </si>
  <si>
    <t>Khảo sát thiết bị của phòng lab</t>
  </si>
  <si>
    <t>Có danh sách phép thử: RF, ESD, EFT, nhiễu dẫn, từ trường và mức cực đại</t>
  </si>
  <si>
    <t>9</t>
  </si>
  <si>
    <t>Ảnh thiết bị và bảng thông số</t>
  </si>
  <si>
    <t>YC-05</t>
  </si>
  <si>
    <t>Xác nhận được dùng hai PCB tự thiết kế</t>
  </si>
  <si>
    <t>Chốt PCB chính và PCB đầu dò TMP117</t>
  </si>
  <si>
    <t>YC-06</t>
  </si>
  <si>
    <t>Chốt dải đo và độ phân giải</t>
  </si>
  <si>
    <t>Dải sử dụng 32-43 °C, hiển thị 0,1 °C hoặc giá trị đã được giảng viên duyệt</t>
  </si>
  <si>
    <t>Bảng chỉ tiêu v1</t>
  </si>
  <si>
    <t>YC-07</t>
  </si>
  <si>
    <t>Chốt sai số mục tiêu</t>
  </si>
  <si>
    <t>Có tiêu chí sai số môn học, ví dụ không quá ±0,2 °C so với tham chiếu</t>
  </si>
  <si>
    <t>YC-08</t>
  </si>
  <si>
    <t>Chốt chuẩn truyền thông</t>
  </si>
  <si>
    <t>Ghi rõ Wi-Fi IEEE 802.11b/g/n, 2,4 GHz</t>
  </si>
  <si>
    <t>YC-09</t>
  </si>
  <si>
    <t>Chốt điều kiện kiểm tra 100 m</t>
  </si>
  <si>
    <t>Xác định ngoài trời/LOS, độ cao anten, AP sử dụng và chỉ số PDR/RSSI</t>
  </si>
  <si>
    <t>Kịch bản đo khoảng cách</t>
  </si>
  <si>
    <t>YC-10</t>
  </si>
  <si>
    <t>Đóng băng đặc tả phiên bản 1</t>
  </si>
  <si>
    <t>Bảng đặc tả có chữ ký/xác nhận cá nhân và không còn mục quan trọng để trống</t>
  </si>
  <si>
    <t>Specification_v1.pdf</t>
  </si>
  <si>
    <t>YC-02,YC-04,YC-06,YC-09</t>
  </si>
  <si>
    <t>TC-01</t>
  </si>
  <si>
    <t>Đọc phạm vi IEC 60601-1-2 Edition 4.1</t>
  </si>
  <si>
    <t>Viết được tiêu chuẩn áp dụng cho an toàn cơ bản và hiệu năng thiết yếu trong nhiễu</t>
  </si>
  <si>
    <t>Ghi chú tiêu chuẩn</t>
  </si>
  <si>
    <t>TC-02</t>
  </si>
  <si>
    <t>Xác định tiêu chuẩn Châu Âu</t>
  </si>
  <si>
    <t>Ghi EN 60601-1-2:2015+A1:2021 và lưu nguồn tham khảo</t>
  </si>
  <si>
    <t>Bảng so sánh tiêu chuẩn</t>
  </si>
  <si>
    <t>TC-03</t>
  </si>
  <si>
    <t>Xác định tiêu chuẩn Mỹ</t>
  </si>
  <si>
    <t>Ghi ANSI/AAMI/IEC 60601-1-2 và hướng dẫn FDA liên quan</t>
  </si>
  <si>
    <t>TC-04</t>
  </si>
  <si>
    <t>Xác định tiêu chuẩn Nhật Bản</t>
  </si>
  <si>
    <t>Ghi JIS T 0601-1-2:2023 và nguồn PMDA/JIS</t>
  </si>
  <si>
    <t>TC-05</t>
  </si>
  <si>
    <t>Đọc ISO 80601-2-56 cho nhiệt kế</t>
  </si>
  <si>
    <t>Tóm tắt phạm vi và liên hệ với TMP117</t>
  </si>
  <si>
    <t>Ghi chú tiêu chuẩn nhiệt kế</t>
  </si>
  <si>
    <t>TC-06</t>
  </si>
  <si>
    <t>Lập bảng phép thử áp dụng</t>
  </si>
  <si>
    <t>Mỗi phép thử có tiêu chuẩn cơ sở, mức thử, cổng thử và lý do áp dụng/không áp dụng</t>
  </si>
  <si>
    <t>9-10</t>
  </si>
  <si>
    <t>Test_matrix_v1.xlsx</t>
  </si>
  <si>
    <t>TC-01,YC-04</t>
  </si>
  <si>
    <t>TC-07</t>
  </si>
  <si>
    <t>Định nghĩa hiệu năng thiết yếu</t>
  </si>
  <si>
    <t>Sai số nhiệt độ, không chấp nhận dữ liệu sai, không treo và thời gian phục hồi được định lượng</t>
  </si>
  <si>
    <t>Bảng pass/fail</t>
  </si>
  <si>
    <t>TC-08</t>
  </si>
  <si>
    <t>Lập danh sách rủi ro EMC</t>
  </si>
  <si>
    <t>Có nguồn nhiễu, đường ghép, hậu quả, biện pháp và cách kiểm chứng</t>
  </si>
  <si>
    <t>10</t>
  </si>
  <si>
    <t>Risk_register_v1.xlsx</t>
  </si>
  <si>
    <t>TC-06,TC-07</t>
  </si>
  <si>
    <t>KT-01</t>
  </si>
  <si>
    <t>Vẽ sơ đồ khối hệ thống</t>
  </si>
  <si>
    <t>Có pin, sạc, nguồn, ESP32, TMP117, hiển thị, USB và RF</t>
  </si>
  <si>
    <t>Ảnh sơ đồ khối</t>
  </si>
  <si>
    <t>KT-02</t>
  </si>
  <si>
    <t>Chia hệ thống thành PCB chính và đầu dò</t>
  </si>
  <si>
    <t>Xác định đầu nối, số dây, chiều dài dây và cơ khí tiếp xúc</t>
  </si>
  <si>
    <t>Sơ đồ kết nối hai PCB</t>
  </si>
  <si>
    <t>KT-03</t>
  </si>
  <si>
    <t>Chọn ESP32-C3FH4X</t>
  </si>
  <si>
    <t>Xác nhận package QFN32, Flash 4 MB và số GPIO đủ dùng</t>
  </si>
  <si>
    <t>Datasheet và bảng lựa chọn</t>
  </si>
  <si>
    <t>KT-04</t>
  </si>
  <si>
    <t>Chọn TMP117 và mã đặt hàng</t>
  </si>
  <si>
    <t>Xác nhận package, độ chính xác, nguồn và khả năng mua</t>
  </si>
  <si>
    <t>Datasheet và link nhà cung cấp</t>
  </si>
  <si>
    <t>KT-05</t>
  </si>
  <si>
    <t>Chọn kiến trúc nguồn</t>
  </si>
  <si>
    <t>Li-ion 3,7 V → bảo vệ → TPS63031 3,3 V → lọc nhánh cảm biến</t>
  </si>
  <si>
    <t>Sơ đồ cây nguồn</t>
  </si>
  <si>
    <t>KT-06</t>
  </si>
  <si>
    <t>Chọn IC sạc và bảo vệ pin</t>
  </si>
  <si>
    <t>Chốt MCP73831, DW01A, FS8205A hoặc phương án tương đương</t>
  </si>
  <si>
    <t>Bảng lựa chọn linh kiện</t>
  </si>
  <si>
    <t>KT-07</t>
  </si>
  <si>
    <t>Chọn phương án hiển thị</t>
  </si>
  <si>
    <t>Chốt LED 7 đoạn 4 số + 74HC595 + transistor</t>
  </si>
  <si>
    <t>Sơ đồ khối hiển thị</t>
  </si>
  <si>
    <t>KT-08</t>
  </si>
  <si>
    <t>Chọn phương án anten</t>
  </si>
  <si>
    <t>Phiên bản đầu dùng U.FL + anten 2,4 GHz 50 Ω để giảm rủi ro</t>
  </si>
  <si>
    <t>Datasheet anten/connector</t>
  </si>
  <si>
    <t>KT-09</t>
  </si>
  <si>
    <t>Lập bảng phân chân ESP32</t>
  </si>
  <si>
    <t>Mỗi GPIO có chức năng, trạng thái khởi động và lưu ý strapping</t>
  </si>
  <si>
    <t>Pin_map_v1.xlsx</t>
  </si>
  <si>
    <t>KT-03,KT-07</t>
  </si>
  <si>
    <t>KT-10</t>
  </si>
  <si>
    <t>Lập BOM sơ bộ và kiểm tra tồn kho</t>
  </si>
  <si>
    <t>Không dùng linh kiện khó mua hoặc đã EOL; có linh kiện thay thế</t>
  </si>
  <si>
    <t>BOM_v0.1.xlsx</t>
  </si>
  <si>
    <t>KT-03,KT-04,KT-06,KT-08</t>
  </si>
  <si>
    <t>NG-01</t>
  </si>
  <si>
    <t>Vẽ USB-C và điện trở CC</t>
  </si>
  <si>
    <t>CC1/CC2 có điện trở 5,1 kΩ; VBUS/GND đúng chân</t>
  </si>
  <si>
    <t>Schematic trang nguồn</t>
  </si>
  <si>
    <t>NG-02</t>
  </si>
  <si>
    <t>Bổ sung TVS và lọc đầu vào USB</t>
  </si>
  <si>
    <t>TVS đặt phía connector, có tụ đầu vào và đường hồi GND ngắn</t>
  </si>
  <si>
    <t>Schematic và ảnh bố trí dự kiến</t>
  </si>
  <si>
    <t>NG-03</t>
  </si>
  <si>
    <t>Vẽ MCP73831</t>
  </si>
  <si>
    <t>PROG, STAT, tụ vào/ra và dòng sạc được tính theo dung lượng pin</t>
  </si>
  <si>
    <t>Tính dòng sạc và schematic</t>
  </si>
  <si>
    <t>NG-04</t>
  </si>
  <si>
    <t>Vẽ bảo vệ pin DW01A + FS8205A</t>
  </si>
  <si>
    <t>Đúng chiều MOSFET, B+/B-/P+/P- và tụ theo datasheet</t>
  </si>
  <si>
    <t>Schematic bảo vệ pin</t>
  </si>
  <si>
    <t>NG-05</t>
  </si>
  <si>
    <t>Vẽ TPS63031 3,3 V</t>
  </si>
  <si>
    <t>Cuộn cảm và tụ đúng datasheet; EN/PS được định nghĩa</t>
  </si>
  <si>
    <t>Schematic và phép tính nguồn</t>
  </si>
  <si>
    <t>NG-06</t>
  </si>
  <si>
    <t>Tách nhánh nguồn cảm biến</t>
  </si>
  <si>
    <t>Có ferrite bead, tụ 10 µF/1 µF/100 nF và footprint bypass 0 Ω</t>
  </si>
  <si>
    <t>Schematic lọc cảm biến</t>
  </si>
  <si>
    <t>NG-07</t>
  </si>
  <si>
    <t>Thêm supervisor và reset nguồn</t>
  </si>
  <si>
    <t>Ngưỡng phù hợp khoảng 3,0 V; không xung đột CHIP_EN</t>
  </si>
  <si>
    <t>Schematic reset</t>
  </si>
  <si>
    <t>NG-08</t>
  </si>
  <si>
    <t>Thêm test point và jumper cô lập nguồn</t>
  </si>
  <si>
    <t>Có TP_VBUS, TP_VBAT, TP_3V3, TP_SENSOR và jumper đo dòng</t>
  </si>
  <si>
    <t>Schematic test point</t>
  </si>
  <si>
    <t>NG-05,NG-06</t>
  </si>
  <si>
    <t>SC-01</t>
  </si>
  <si>
    <t>Nối toàn bộ chân nguồn ESP32</t>
  </si>
  <si>
    <t>Tất cả VDD/VDDA/VDD_SPI có nguồn và tụ decoupling đúng</t>
  </si>
  <si>
    <t>Schematic ESP32 core</t>
  </si>
  <si>
    <t>SC-02</t>
  </si>
  <si>
    <t>Vẽ thạch anh 40 MHz</t>
  </si>
  <si>
    <t>Có crystal ±10 ppm, tụ tải để tính sau và layout note</t>
  </si>
  <si>
    <t>Schematic crystal và phép tính CL</t>
  </si>
  <si>
    <t>SC-03</t>
  </si>
  <si>
    <t>Vẽ CHIP_EN, RESET và BOOT</t>
  </si>
  <si>
    <t>CHIP_EN 10 kΩ/1 µF; GPIO9 đúng trạng thái boot</t>
  </si>
  <si>
    <t>Schematic reset/boot</t>
  </si>
  <si>
    <t>SC-04</t>
  </si>
  <si>
    <t>Vẽ USB native của ESP32-C3</t>
  </si>
  <si>
    <t>GPIO18 D-, GPIO19 D+, điện trở 22/33 Ω và footprint tụ DNP</t>
  </si>
  <si>
    <t>Schematic USB</t>
  </si>
  <si>
    <t>NG-01,SC-01</t>
  </si>
  <si>
    <t>SC-05</t>
  </si>
  <si>
    <t>Thêm test point UART</t>
  </si>
  <si>
    <t>Có TX, RX, GND và nhãn rõ ràng để debug</t>
  </si>
  <si>
    <t>Schematic UART</t>
  </si>
  <si>
    <t>SC-06</t>
  </si>
  <si>
    <t>Vẽ mạch phối hợp RF C-L-C</t>
  </si>
  <si>
    <t>Có footprint gần LNA_IN và thêm C-L-C gần U.FL, chưa chốt giá trị tuning</t>
  </si>
  <si>
    <t>Schematic RF</t>
  </si>
  <si>
    <t>SC-07</t>
  </si>
  <si>
    <t>Vẽ đầu nối U.FL và vùng RF</t>
  </si>
  <si>
    <t>Net RF liên tục 50 Ω; ghi chú không đổi lớp và giữ khoảng cách</t>
  </si>
  <si>
    <t>Schematic/constraint RF</t>
  </si>
  <si>
    <t>SC-08</t>
  </si>
  <si>
    <t>Vẽ TMP117 trên PCB đầu dò</t>
  </si>
  <si>
    <t>Địa chỉ ADD0, ALERT, nguồn và tụ đúng datasheet</t>
  </si>
  <si>
    <t>Schematic probe</t>
  </si>
  <si>
    <t>KT-04,NG-06</t>
  </si>
  <si>
    <t>SC-09</t>
  </si>
  <si>
    <t>Bổ sung lọc và bảo vệ I2C</t>
  </si>
  <si>
    <t>Pull-up 4,7 kΩ, series 68 Ω, tụ tùy chọn và TVS tại connector</t>
  </si>
  <si>
    <t>Schematic I2C EMC</t>
  </si>
  <si>
    <t>SC-10</t>
  </si>
  <si>
    <t>Vẽ hiển thị LED 7 đoạn</t>
  </si>
  <si>
    <t>74HC595, transistor chọn digit và điện trở hạn dòng đầy đủ</t>
  </si>
  <si>
    <t>Schematic display</t>
  </si>
  <si>
    <t>KT-07,KT-09</t>
  </si>
  <si>
    <t>SC-11</t>
  </si>
  <si>
    <t>Vẽ nút nhấn, LED trạng thái và buzzer</t>
  </si>
  <si>
    <t>Có điện trở kéo, hạn dòng và transistor nếu cần</t>
  </si>
  <si>
    <t>Schematic IO</t>
  </si>
  <si>
    <t>SC-12</t>
  </si>
  <si>
    <t>Chạy ERC và tự kiểm tra sau 24 giờ</t>
  </si>
  <si>
    <t>Không còn lỗi nguồn/chân treo; đối chiếu từng trang với datasheet</t>
  </si>
  <si>
    <t>Báo cáo ERC và checklist review</t>
  </si>
  <si>
    <t>SC-01:SC-11</t>
  </si>
  <si>
    <t>PCB-01</t>
  </si>
  <si>
    <t>Kiểm tra footprint với datasheet</t>
  </si>
  <si>
    <t>QFN/WSON/pad nhiệt, U.FL, USB-C và LED đúng kích thước thực</t>
  </si>
  <si>
    <t>Bảng kiểm footprint</t>
  </si>
  <si>
    <t>PCB-02</t>
  </si>
  <si>
    <t>Chọn nhà sản xuất và stack-up 4 lớp</t>
  </si>
  <si>
    <t>Có độ dày dielectric, đồng và quy tắc trở kháng để tính RF 50 Ω</t>
  </si>
  <si>
    <t>Ảnh stack-up</t>
  </si>
  <si>
    <t>PCB-03</t>
  </si>
  <si>
    <t>Vẽ outline và vị trí cơ khí</t>
  </si>
  <si>
    <t>Kích thước bo, lỗ bắt, USB, nút, LED và anten phù hợp vỏ</t>
  </si>
  <si>
    <t>Bản vẽ cơ khí</t>
  </si>
  <si>
    <t>PCB-04</t>
  </si>
  <si>
    <t>Đặt ESP32, crystal và RF trước</t>
  </si>
  <si>
    <t>RF ngắn; crystal tách nguồn xung; không có tín hiệu bên dưới</t>
  </si>
  <si>
    <t>Ảnh placement RF</t>
  </si>
  <si>
    <t>PCB-05</t>
  </si>
  <si>
    <t>Đặt khối TPS63031</t>
  </si>
  <si>
    <t>Cuộn cảm và tụ tạo vòng dòng nhỏ, cách xa RF và sensor connector</t>
  </si>
  <si>
    <t>Ảnh placement nguồn</t>
  </si>
  <si>
    <t>PCB-06</t>
  </si>
  <si>
    <t>Đặt TVS sát các đầu nối</t>
  </si>
  <si>
    <t>Dòng ESD đi về GND trước khi vào mạch chức năng</t>
  </si>
  <si>
    <t>Ảnh vị trí TVS</t>
  </si>
  <si>
    <t>PCB-07</t>
  </si>
  <si>
    <t>Đi RF theo 50 Ω</t>
  </si>
  <si>
    <t>Đúng chiều rộng theo stack-up, không via, không nhánh, reference GND liên tục</t>
  </si>
  <si>
    <t>Ảnh route RF và tính impedance</t>
  </si>
  <si>
    <t>PCB-02,PCB-04</t>
  </si>
  <si>
    <t>PCB-08</t>
  </si>
  <si>
    <t>Hoàn thiện mặt phẳng GND lớp 2</t>
  </si>
  <si>
    <t>Không bị cắt dưới ESP32, RF, crystal và các đường nhạy cảm</t>
  </si>
  <si>
    <t>Ảnh lớp GND</t>
  </si>
  <si>
    <t>PCB-09</t>
  </si>
  <si>
    <t>Đi nguồn và tụ decoupling</t>
  </si>
  <si>
    <t>Đường nguồn đủ rộng, vòng dòng ngắn, via GND sát từng tụ</t>
  </si>
  <si>
    <t>Ảnh route nguồn</t>
  </si>
  <si>
    <t>PCB-10</t>
  </si>
  <si>
    <t>Thêm via stitching và pad nhiệt</t>
  </si>
  <si>
    <t>Ít nhất 9 via dưới ESP32; via GND quanh RF và mép bo</t>
  </si>
  <si>
    <t>Ảnh via stitching</t>
  </si>
  <si>
    <t>PCB-11</t>
  </si>
  <si>
    <t>Layout PCB đầu dò TMP117</t>
  </si>
  <si>
    <t>Cảm biến xa connector/nhiệt nguồn; đường nhiệt tiếp xúc rõ ràng</t>
  </si>
  <si>
    <t>Ảnh PCB probe</t>
  </si>
  <si>
    <t>SC-08,SC-09</t>
  </si>
  <si>
    <t>PCB-12</t>
  </si>
  <si>
    <t>Thêm test point và footprint DNP</t>
  </si>
  <si>
    <t>Dễ đo nguồn, reset, I2C, UART và thay đổi linh kiện lọc</t>
  </si>
  <si>
    <t>Ảnh test point</t>
  </si>
  <si>
    <t>PCB-13</t>
  </si>
  <si>
    <t>Chạy DRC và kiểm tra 3D</t>
  </si>
  <si>
    <t>Không lỗi clearance/unconnected; connector và linh kiện không va chạm</t>
  </si>
  <si>
    <t>DRC report và ảnh 3D</t>
  </si>
  <si>
    <t>PCB-04:PCB-12</t>
  </si>
  <si>
    <t>PCB-14</t>
  </si>
  <si>
    <t>Xuất Gerber, drill, BOM và CPL rồi đặt hàng</t>
  </si>
  <si>
    <t>Mở lại Gerber kiểm tra; lưu mã đơn hàng và phiên bản thiết kế</t>
  </si>
  <si>
    <t>Gerber viewer, BOM, CPL, hóa đơn</t>
  </si>
  <si>
    <t>FW-01</t>
  </si>
  <si>
    <t>Tạo project ESP-IDF và cấu hình Git</t>
  </si>
  <si>
    <t>Build được project rỗng cho ESP32-C3FH4X</t>
  </si>
  <si>
    <t>Mã nguồn và ảnh build</t>
  </si>
  <si>
    <t>FW-02</t>
  </si>
  <si>
    <t>Tạo file cấu hình chân</t>
  </si>
  <si>
    <t>Tất cả GPIO khớp Pin_map_v1 và không xung đột USB/strapping</t>
  </si>
  <si>
    <t>pin_config.h</t>
  </si>
  <si>
    <t>FW-03</t>
  </si>
  <si>
    <t>Thiết lập log qua USB Serial/JTAG</t>
  </si>
  <si>
    <t>Máy tính nhận log khởi động và reset reason</t>
  </si>
  <si>
    <t>10-11</t>
  </si>
  <si>
    <t>Ảnh terminal</t>
  </si>
  <si>
    <t>FW-01,SC-04</t>
  </si>
  <si>
    <t>FW-04</t>
  </si>
  <si>
    <t>Viết driver I2C</t>
  </si>
  <si>
    <t>I2C 100 kHz, có timeout và trả mã lỗi</t>
  </si>
  <si>
    <t>i2c_driver.c</t>
  </si>
  <si>
    <t>FW-05</t>
  </si>
  <si>
    <t>Viết driver TMP117</t>
  </si>
  <si>
    <t>Đọc ID/cấu hình/nhiệt độ đúng đơn vị °C</t>
  </si>
  <si>
    <t>tmp117.c và log thử</t>
  </si>
  <si>
    <t>FW-06</t>
  </si>
  <si>
    <t>Viết điều khiển LED 7 đoạn</t>
  </si>
  <si>
    <t>Hiển thị được nhiệt độ và mã lỗi, không nhấp nháy rõ</t>
  </si>
  <si>
    <t>display.c và video</t>
  </si>
  <si>
    <t>FW-02,SC-10</t>
  </si>
  <si>
    <t>FW-07</t>
  </si>
  <si>
    <t>Kết nối Wi-Fi 2,4 GHz</t>
  </si>
  <si>
    <t>Kết nối AP, lưu RSSI và tự kết nối lại</t>
  </si>
  <si>
    <t>wifi.c và log</t>
  </si>
  <si>
    <t>FW-08</t>
  </si>
  <si>
    <t>Định nghĩa gói telemetry</t>
  </si>
  <si>
    <t>Có sequence, timestamp, raw, filtered, RSSI, error flags và CRC</t>
  </si>
  <si>
    <t>telemetry.h</t>
  </si>
  <si>
    <t>FW-05,FW-07</t>
  </si>
  <si>
    <t>FW-09</t>
  </si>
  <si>
    <t>Viết chương trình PC ghi CSV</t>
  </si>
  <si>
    <t>Nhận và lưu đầy đủ trường; không mất cấu trúc khi mất kết nối</t>
  </si>
  <si>
    <t>logger.py và file CSV</t>
  </si>
  <si>
    <t>FW-10</t>
  </si>
  <si>
    <t>Cài RAW_MODE</t>
  </si>
  <si>
    <t>Đọc và gửi trực tiếp để làm đường cơ sở so sánh nhiễu</t>
  </si>
  <si>
    <t>11</t>
  </si>
  <si>
    <t>Commit RAW_MODE</t>
  </si>
  <si>
    <t>FW-05,FW-08</t>
  </si>
  <si>
    <t>FW-11</t>
  </si>
  <si>
    <t>Cài lọc trung vị 5 mẫu</t>
  </si>
  <si>
    <t>Xung đơn lẻ bị loại nhưng tín hiệu thật vẫn theo được</t>
  </si>
  <si>
    <t>Code và đồ thị thử</t>
  </si>
  <si>
    <t>FW-12</t>
  </si>
  <si>
    <t>Cài lọc thông thấp và phát hiện ổn định</t>
  </si>
  <si>
    <t>Có tham số rõ ràng và đo được thời gian đáp ứng</t>
  </si>
  <si>
    <t>Code và kết quả step test</t>
  </si>
  <si>
    <t>FW-13</t>
  </si>
  <si>
    <t>Cài retry và phục hồi bus I2C</t>
  </si>
  <si>
    <t>Thử lại tối đa 3 lần; tạo 9 xung SCL khi bus treo</t>
  </si>
  <si>
    <t>Code và log fault injection</t>
  </si>
  <si>
    <t>FW-14</t>
  </si>
  <si>
    <t>Bật watchdog, brownout và thống kê lỗi</t>
  </si>
  <si>
    <t>Ghi reset reason, i2c_error_count, reconnect_count</t>
  </si>
  <si>
    <t>Code và log reset</t>
  </si>
  <si>
    <t>FW-15</t>
  </si>
  <si>
    <t>Đóng gói EMC_MODE và gắn phiên bản</t>
  </si>
  <si>
    <t>Có cấu hình bật/tắt bảo vệ, version string và Git tag</t>
  </si>
  <si>
    <t>Release firmware v1.0</t>
  </si>
  <si>
    <t>FW-11:FW-14</t>
  </si>
  <si>
    <t>LR-01</t>
  </si>
  <si>
    <t>Kiểm tra PCB và linh kiện đầu vào</t>
  </si>
  <si>
    <t>Không cong, chập, thiếu linh kiện; đúng revision và package</t>
  </si>
  <si>
    <t>Ảnh kiểm tra đầu vào</t>
  </si>
  <si>
    <t>LR-02</t>
  </si>
  <si>
    <t>Đo điện trở các rail trước khi cấp nguồn</t>
  </si>
  <si>
    <t>Không có rail nguồn chập GND; ghi lại giá trị</t>
  </si>
  <si>
    <t>Bảng đo điện trở</t>
  </si>
  <si>
    <t>LR-03</t>
  </si>
  <si>
    <t>Lắp riêng khối nguồn</t>
  </si>
  <si>
    <t>Chỉ lắp USB, sạc, bảo vệ pin, TPS63031 và linh kiện liên quan</t>
  </si>
  <si>
    <t>Ảnh bo sau lắp nguồn</t>
  </si>
  <si>
    <t>LR-04</t>
  </si>
  <si>
    <t>Cấp nguồn có giới hạn dòng</t>
  </si>
  <si>
    <t>Bắt đầu 100-200 mA; không nóng bất thường</t>
  </si>
  <si>
    <t>Ảnh nguồn lab và dòng</t>
  </si>
  <si>
    <t>LR-05</t>
  </si>
  <si>
    <t>Đo 3,3 V và ripple</t>
  </si>
  <si>
    <t>Điện áp trong giới hạn; lưu ảnh oscilloscope ở không tải và tải</t>
  </si>
  <si>
    <t>Ảnh đồng hồ/oscilloscope</t>
  </si>
  <si>
    <t>LR-06</t>
  </si>
  <si>
    <t>Lắp ESP32, crystal, USB và reset</t>
  </si>
  <si>
    <t>Mối hàn QFN đạt; không chập các chân</t>
  </si>
  <si>
    <t>Ảnh kính hiển vi</t>
  </si>
  <si>
    <t>LR-07</t>
  </si>
  <si>
    <t>Kiểm tra USB nhận thiết bị</t>
  </si>
  <si>
    <t>Máy tính nhận USB Serial/JTAG ổn định qua nhiều lần cắm</t>
  </si>
  <si>
    <t>Ảnh Device Manager/lsusb</t>
  </si>
  <si>
    <t>LR-08</t>
  </si>
  <si>
    <t>Nạp firmware LED/test cơ bản</t>
  </si>
  <si>
    <t>ESP32 boot, log đúng và reset hoạt động</t>
  </si>
  <si>
    <t>Video và log</t>
  </si>
  <si>
    <t>LR-07,FW-03</t>
  </si>
  <si>
    <t>LR-09</t>
  </si>
  <si>
    <t>Đo dòng ESP32 idle và khi phát Wi-Fi</t>
  </si>
  <si>
    <t>Không sụt nguồn/reset; lưu dòng cực đại</t>
  </si>
  <si>
    <t>Bảng dòng và ảnh scope</t>
  </si>
  <si>
    <t>LR-08,FW-07</t>
  </si>
  <si>
    <t>LR-10</t>
  </si>
  <si>
    <t>Lắp PCB đầu dò TMP117</t>
  </si>
  <si>
    <t>Mối hàn WSON đạt; tụ và TVS đúng vị trí</t>
  </si>
  <si>
    <t>Ảnh kính hiển vi probe</t>
  </si>
  <si>
    <t>LR-11</t>
  </si>
  <si>
    <t>Quét và đọc TMP117</t>
  </si>
  <si>
    <t>I2C nhận đúng địa chỉ, nhiệt độ hợp lý, không timeout</t>
  </si>
  <si>
    <t>Log I2C và nhiệt độ</t>
  </si>
  <si>
    <t>LR-10,FW-05</t>
  </si>
  <si>
    <t>LR-12</t>
  </si>
  <si>
    <t>Kiểm tra hiển thị và nút</t>
  </si>
  <si>
    <t>Hiển thị đúng số; nút không dội gây lệnh sai</t>
  </si>
  <si>
    <t>Video thao tác</t>
  </si>
  <si>
    <t>LR-08,FW-06</t>
  </si>
  <si>
    <t>LR-13</t>
  </si>
  <si>
    <t>Kiểm tra Wi-Fi khoảng cách gần</t>
  </si>
  <si>
    <t>Truyền liên tục 30 phút ở 1-5 m, không reset</t>
  </si>
  <si>
    <t>CSV và log 30 phút</t>
  </si>
  <si>
    <t>LR-09,FW-09</t>
  </si>
  <si>
    <t>LR-14</t>
  </si>
  <si>
    <t>Kiểm tra sạc, pin và chu kỳ nguồn</t>
  </si>
  <si>
    <t>Sạc đúng dòng; chạy pin; bật/tắt 20 lần không lỗi</t>
  </si>
  <si>
    <t>Bảng đo và video</t>
  </si>
  <si>
    <t>LR-05,LR-08</t>
  </si>
  <si>
    <t>CS-01</t>
  </si>
  <si>
    <t>Chuẩn bị nguồn nhiệt và thiết bị tham chiếu</t>
  </si>
  <si>
    <t>Không thử trên người; bố trí TMP117 và cảm biến tham chiếu cùng điều kiện</t>
  </si>
  <si>
    <t>12</t>
  </si>
  <si>
    <t>Ảnh cấu hình đo</t>
  </si>
  <si>
    <t>CS-02</t>
  </si>
  <si>
    <t>Đo ổn định 5 phút không nhiễu</t>
  </si>
  <si>
    <t>Có đủ raw, filtered, RSSI, lỗi và timestamp</t>
  </si>
  <si>
    <t>CSV baseline</t>
  </si>
  <si>
    <t>CS-01,FW-15</t>
  </si>
  <si>
    <t>CS-03</t>
  </si>
  <si>
    <t>Đo tại ít nhất ba mức nhiệt độ</t>
  </si>
  <si>
    <t>Có điểm gần 35 °C, 37 °C, 40 °C hoặc mức được duyệt</t>
  </si>
  <si>
    <t>Bảng dữ liệu ba điểm</t>
  </si>
  <si>
    <t>CS-04</t>
  </si>
  <si>
    <t>Tính sai số và độ lệch chuẩn</t>
  </si>
  <si>
    <t>Có MAE/sai số cực đại/độ lệch chuẩn cho raw và filtered</t>
  </si>
  <si>
    <t>Bảng tính và đồ thị</t>
  </si>
  <si>
    <t>CS-02,CS-03</t>
  </si>
  <si>
    <t>CS-05</t>
  </si>
  <si>
    <t>Đo thời gian đáp ứng bộ lọc</t>
  </si>
  <si>
    <t>Biết độ trễ do median/low-pass và xác nhận vẫn chấp nhận được</t>
  </si>
  <si>
    <t>Đồ thị đáp ứng</t>
  </si>
  <si>
    <t>FW-11,FW-12</t>
  </si>
  <si>
    <t>CS-06</t>
  </si>
  <si>
    <t>Đo Wi-Fi 1/10/30/100 m</t>
  </si>
  <si>
    <t>Có RSSI, PDR, latency và điều kiện đo cho từng khoảng cách</t>
  </si>
  <si>
    <t>CSV, ảnh vị trí, bảng kết quả</t>
  </si>
  <si>
    <t>LR-13,YC-09</t>
  </si>
  <si>
    <t>CS-07</t>
  </si>
  <si>
    <t>Đo thời lượng pin và công suất</t>
  </si>
  <si>
    <t>Có dòng trung bình, dòng đỉnh, thời gian dự kiến và kiểm tra mục tiêu 2 W</t>
  </si>
  <si>
    <t>Bảng đo công suất</t>
  </si>
  <si>
    <t>LR-14,YC-02</t>
  </si>
  <si>
    <t>CS-08</t>
  </si>
  <si>
    <t>Đóng băng cấu hình baseline</t>
  </si>
  <si>
    <t>Lưu firmware, BOM, jumper/DNP và điều kiện đo trước khi thử EMC</t>
  </si>
  <si>
    <t>Baseline_release.zip/Git tag</t>
  </si>
  <si>
    <t>CS-02:CS-07</t>
  </si>
  <si>
    <t>EMC-01</t>
  </si>
  <si>
    <t>Duyệt an toàn và quy trình phòng lab</t>
  </si>
  <si>
    <t>Biết vùng nguy hiểm, giới hạn thao tác và cách dừng khẩn cấp</t>
  </si>
  <si>
    <t>Biên bản/ghi chú an toàn</t>
  </si>
  <si>
    <t>EMC-02</t>
  </si>
  <si>
    <t>Chụp cấu hình đo và đánh dấu hướng thiết bị</t>
  </si>
  <si>
    <t>Ảnh rõ cáp, anten, khoảng cách, mặt thiết bị và thiết bị đo</t>
  </si>
  <si>
    <t>Bộ ảnh setup</t>
  </si>
  <si>
    <t>EMC-03</t>
  </si>
  <si>
    <t>Đo pre-test ngay trước khi bật nhiễu</t>
  </si>
  <si>
    <t>Xác nhận thiết bị bình thường và log không nhiễu cùng phiên thử</t>
  </si>
  <si>
    <t>Pretest.csv</t>
  </si>
  <si>
    <t>EMC-04</t>
  </si>
  <si>
    <t>Chốt điểm phóng ESD</t>
  </si>
  <si>
    <t>Có vỏ, USB, nút, đầu nối sensor; phân biệt contact/air</t>
  </si>
  <si>
    <t>Bảng điểm ESD</t>
  </si>
  <si>
    <t>TC-06,EMC-02</t>
  </si>
  <si>
    <t>EMC-05</t>
  </si>
  <si>
    <t>Chốt kịch bản RF bức xạ</t>
  </si>
  <si>
    <t>Có dải tần, mức V/m, modulation, dwell time và hướng thử</t>
  </si>
  <si>
    <t>RF_test_plan</t>
  </si>
  <si>
    <t>EMC-06</t>
  </si>
  <si>
    <t>Chốt EFT/nhiễu dẫn/từ trường nếu áp dụng</t>
  </si>
  <si>
    <t>Mỗi phép thử có lý do áp dụng và cổng ghép rõ ràng</t>
  </si>
  <si>
    <t>Bảng thử bổ sung</t>
  </si>
  <si>
    <t>TC-06,YC-04</t>
  </si>
  <si>
    <t>EMC-07</t>
  </si>
  <si>
    <t>Chạy RAW_MODE</t>
  </si>
  <si>
    <t>Thử đủ mức đã duyệt; lưu nhiệt độ, reset, lỗi I2C và PDR</t>
  </si>
  <si>
    <t>12-13</t>
  </si>
  <si>
    <t>RAW log, ảnh, video</t>
  </si>
  <si>
    <t>EMC-03:EMC-06</t>
  </si>
  <si>
    <t>EMC-08</t>
  </si>
  <si>
    <t>Chạy EMC_MODE cùng điều kiện</t>
  </si>
  <si>
    <t>Không thay đổi mức nhiễu/setup ngoài chế độ firmware</t>
  </si>
  <si>
    <t>13</t>
  </si>
  <si>
    <t>EMC log, ảnh, video</t>
  </si>
  <si>
    <t>EMC-07,FW-15</t>
  </si>
  <si>
    <t>EMC-09</t>
  </si>
  <si>
    <t>Xác định dạng lỗi chi phối</t>
  </si>
  <si>
    <t>Phân loại sai số đo, treo I2C, reset nguồn, mất Wi-Fi hoặc lỗi hiển thị</t>
  </si>
  <si>
    <t>Fault_summary.xlsx</t>
  </si>
  <si>
    <t>EMC-07,EMC-08</t>
  </si>
  <si>
    <t>EMC-10</t>
  </si>
  <si>
    <t>Thử thay đổi phần cứng có kiểm soát</t>
  </si>
  <si>
    <t>So sánh ferrite/RC/TVS/jumper DNP, mỗi lần chỉ đổi một yếu tố</t>
  </si>
  <si>
    <t>Bảng cấu hình A/B</t>
  </si>
  <si>
    <t>EMC-09,PCB-12</t>
  </si>
  <si>
    <t>EMC-11</t>
  </si>
  <si>
    <t>Tinh chỉnh phần mềm chống nhiễu</t>
  </si>
  <si>
    <t>Điều chỉnh filter/retry/watchdog dựa trên lỗi đo được, có commit riêng</t>
  </si>
  <si>
    <t>Git diff và release v1.1</t>
  </si>
  <si>
    <t>EMC-12</t>
  </si>
  <si>
    <t>Đo lại sau cải tiến</t>
  </si>
  <si>
    <t>Lặp đúng kịch bản ban đầu và lưu đầy đủ raw/filtered/error</t>
  </si>
  <si>
    <t>14</t>
  </si>
  <si>
    <t>Retest log và video</t>
  </si>
  <si>
    <t>EMC-10,EMC-11</t>
  </si>
  <si>
    <t>EMC-13</t>
  </si>
  <si>
    <t>So sánh KPI trước và sau</t>
  </si>
  <si>
    <t>Có sai số cực đại, độ lệch chuẩn, reset, I2C error, PDR và recovery time</t>
  </si>
  <si>
    <t>Bảng và đồ thị so sánh</t>
  </si>
  <si>
    <t>EMC-07,EMC-08,EMC-12</t>
  </si>
  <si>
    <t>EMC-14</t>
  </si>
  <si>
    <t>Kết luận pass/fail và giới hạn</t>
  </si>
  <si>
    <t>Từng phép thử có kết quả, tiêu chí, kết luận và giới hạn chưa xử lý</t>
  </si>
  <si>
    <t>Test_report_final.pdf</t>
  </si>
  <si>
    <t>BC-01</t>
  </si>
  <si>
    <t>Lập mục lục báo cáo</t>
  </si>
  <si>
    <t>Có yêu cầu, lý thuyết, thiết kế, firmware, thử nghiệm, kết quả và kết luận</t>
  </si>
  <si>
    <t>14-15</t>
  </si>
  <si>
    <t>Outline báo cáo</t>
  </si>
  <si>
    <t>BC-02</t>
  </si>
  <si>
    <t>Viết phần yêu cầu và thông số thiết bị</t>
  </si>
  <si>
    <t>Giải thích rõ 2 W, 2,4 GHz, 100 m và phạm vi prototype</t>
  </si>
  <si>
    <t>15</t>
  </si>
  <si>
    <t>Chương yêu cầu</t>
  </si>
  <si>
    <t>BC-03</t>
  </si>
  <si>
    <t>Viết phần tiêu chuẩn Châu Âu/Mỹ/Nhật</t>
  </si>
  <si>
    <t>Có bảng so sánh, nguồn và không tuyên bố chứng nhận chính thức</t>
  </si>
  <si>
    <t>Chương tiêu chuẩn</t>
  </si>
  <si>
    <t>TC-01:TC-08</t>
  </si>
  <si>
    <t>BC-04</t>
  </si>
  <si>
    <t>Viết phần thiết kế nguyên lý</t>
  </si>
  <si>
    <t>Giải thích từng khối IC, giá trị chính và biện pháp chống nhiễu</t>
  </si>
  <si>
    <t>Chương schematic</t>
  </si>
  <si>
    <t>BC-05</t>
  </si>
  <si>
    <t>Viết phần PCB và EMC layout</t>
  </si>
  <si>
    <t>Có stack-up, RF 50 Ω, GND, decoupling, TVS và đường hồi dòng</t>
  </si>
  <si>
    <t>Chương PCB</t>
  </si>
  <si>
    <t>BC-06</t>
  </si>
  <si>
    <t>Viết phần thuật toán phần mềm</t>
  </si>
  <si>
    <t>Có RAW_MODE, EMC_MODE, lọc, retry, watchdog và telemetry</t>
  </si>
  <si>
    <t>Lưu đồ và chương firmware</t>
  </si>
  <si>
    <t>BC-07</t>
  </si>
  <si>
    <t>Viết phương pháp thử</t>
  </si>
  <si>
    <t>Mô tả thiết bị lab, setup, mức thử, pass/fail và dữ liệu ghi</t>
  </si>
  <si>
    <t>Chương phương pháp đo</t>
  </si>
  <si>
    <t>EMC-01:EMC-06</t>
  </si>
  <si>
    <t>BC-08</t>
  </si>
  <si>
    <t>Trình bày kết quả trước/sau cải tiến</t>
  </si>
  <si>
    <t>Đồ thị và bảng có đơn vị, chú thích, điều kiện và nhận xét</t>
  </si>
  <si>
    <t>Chương kết quả</t>
  </si>
  <si>
    <t>BC-09</t>
  </si>
  <si>
    <t>Viết giới hạn và hướng phát triển</t>
  </si>
  <si>
    <t>Nêu rõ chưa chứng nhận y tế, giới hạn tuning RF và kế hoạch Rev B</t>
  </si>
  <si>
    <t>Chương kết luận</t>
  </si>
  <si>
    <t>BC-10</t>
  </si>
  <si>
    <t>Quay video minh chứng</t>
  </si>
  <si>
    <t>Video có thiết bị, đo bình thường, thử nhiễu, log và so sánh</t>
  </si>
  <si>
    <t>File video</t>
  </si>
  <si>
    <t>BC-04:BC-08</t>
  </si>
  <si>
    <t>BC-11</t>
  </si>
  <si>
    <t>Làm slide và luyện thuyết trình</t>
  </si>
  <si>
    <t>Trình bày 8-12 phút, tập trung vấn đề nhiễu và hiệu quả cải tiến</t>
  </si>
  <si>
    <t>15-16</t>
  </si>
  <si>
    <t>Slide và video luyện nói</t>
  </si>
  <si>
    <t>BC-01:BC-09</t>
  </si>
  <si>
    <t>BC-12</t>
  </si>
  <si>
    <t>Đóng gói và sao lưu bản cuối</t>
  </si>
  <si>
    <t>Có PDF, source KiCad, Gerber, code, dữ liệu, video và Git tag final</t>
  </si>
  <si>
    <t>Final_package và checksum</t>
  </si>
  <si>
    <t>BC-10,BC-11</t>
  </si>
  <si>
    <t>MỐC KIỂM TRA BẮT BUỘC - CHỈ ĐI TIẾP KHI ĐẠT</t>
  </si>
  <si>
    <t>Nếu một mốc chưa đạt, ưu tiên sửa mốc đó trước khi chuyển sang công việc phụ thuộc tiếp theo.</t>
  </si>
  <si>
    <t>Mốc</t>
  </si>
  <si>
    <t>Điều kiện đạt</t>
  </si>
  <si>
    <t>Quyết định sau mốc</t>
  </si>
  <si>
    <t>Ngày đạt</t>
  </si>
  <si>
    <t>Minh chứng</t>
  </si>
  <si>
    <t>M01</t>
  </si>
  <si>
    <t>Đặc tả v1 hoàn chỉnh; 2 W và phép thử lab đã được xác nhận</t>
  </si>
  <si>
    <t>Cho phép chốt kiến trúc</t>
  </si>
  <si>
    <t>☐ Chưa đạt</t>
  </si>
  <si>
    <t>Specification_v1</t>
  </si>
  <si>
    <t>M02</t>
  </si>
  <si>
    <t>Sơ đồ khối, pin map, BOM sơ bộ và linh kiện có thể mua</t>
  </si>
  <si>
    <t>Cho phép vẽ schematic</t>
  </si>
  <si>
    <t>Block diagram + BOM</t>
  </si>
  <si>
    <t>M03</t>
  </si>
  <si>
    <t>Schematic đủ 6 khối, ERC sạch và tự kiểm tra datasheet</t>
  </si>
  <si>
    <t>Cho phép layout</t>
  </si>
  <si>
    <t>ERC report</t>
  </si>
  <si>
    <t>M04</t>
  </si>
  <si>
    <t>PCB 4 lớp DRC sạch, RF 50 Ω, GND liên tục và Gerber kiểm tra lại</t>
  </si>
  <si>
    <t>Cho phép đặt PCB</t>
  </si>
  <si>
    <t>DRC + Gerber viewer</t>
  </si>
  <si>
    <t>M05</t>
  </si>
  <si>
    <t>Nguồn 3,3 V đúng, ripple chấp nhận, không nóng và không quá dòng</t>
  </si>
  <si>
    <t>Cho phép lắp ESP32</t>
  </si>
  <si>
    <t>Ảnh scope/dòng</t>
  </si>
  <si>
    <t>M06</t>
  </si>
  <si>
    <t>ESP32 nhận USB, boot, reset và chạy Wi-Fi không sụt nguồn</t>
  </si>
  <si>
    <t>Cho phép lắp ngoại vi</t>
  </si>
  <si>
    <t>Log + video</t>
  </si>
  <si>
    <t>M07</t>
  </si>
  <si>
    <t>TMP117 đọc ổn định, LED hiển thị và PC ghi CSV</t>
  </si>
  <si>
    <t>Thiết bị chức năng hoàn chỉnh</t>
  </si>
  <si>
    <t>CSV + video</t>
  </si>
  <si>
    <t>M08</t>
  </si>
  <si>
    <t>Baseline ba mức nhiệt, Wi-Fi và công suất đã đo</t>
  </si>
  <si>
    <t>Cho phép vào lab EMC</t>
  </si>
  <si>
    <t>Baseline report</t>
  </si>
  <si>
    <t>M09</t>
  </si>
  <si>
    <t>RAW_MODE và EMC_MODE đã thử cùng điều kiện</t>
  </si>
  <si>
    <t>Cho phép phân tích lỗi</t>
  </si>
  <si>
    <t>RAW/EMC logs</t>
  </si>
  <si>
    <t>M10</t>
  </si>
  <si>
    <t>Đã cải tiến, đo lại và có bảng KPI trước/sau</t>
  </si>
  <si>
    <t>Cho phép kết luận</t>
  </si>
  <si>
    <t>Comparison report</t>
  </si>
  <si>
    <t>M11</t>
  </si>
  <si>
    <t>Báo cáo, video, slide và gói source hoàn chỉnh</t>
  </si>
  <si>
    <t>Sẵn sàng nộp/bảo vệ</t>
  </si>
  <si>
    <t>Final package</t>
  </si>
  <si>
    <t>NHẬT KÝ MINH CHỨNG CÁ NHÂN</t>
  </si>
  <si>
    <t>Mỗi kết quả quan trọng phải có file/ảnh/log tương ứng. Không ghi dữ liệu bệnh nhân thật; dùng nguồn nhiệt và mã thử nghiệm.</t>
  </si>
  <si>
    <t>STT</t>
  </si>
  <si>
    <t>Ngày</t>
  </si>
  <si>
    <t>Task ID</t>
  </si>
  <si>
    <t>Loại minh chứng</t>
  </si>
  <si>
    <t>Tên file/minh chứng</t>
  </si>
  <si>
    <t>Nơi lưu hoặc liên kết</t>
  </si>
  <si>
    <t>Minh chứng điều gì</t>
  </si>
  <si>
    <t>Đã kiểm tra?</t>
  </si>
  <si>
    <t>Ví dụ</t>
  </si>
  <si>
    <t>Ảnh</t>
  </si>
  <si>
    <t>YYYYMMDD_Vi_du.png</t>
  </si>
  <si>
    <t>04_Minh_chung/Vi_du</t>
  </si>
  <si>
    <t>Ảnh minh họa cách ghi nhật ký</t>
  </si>
  <si>
    <t>☐ Chưa</t>
  </si>
  <si>
    <t>Xóa hoặc sửa dòng ví dụ này</t>
  </si>
  <si>
    <t>THÔNG SỐ DỰ ÁN VÀ CÁC ĐIỂM CẦN XÁC NHẬN</t>
  </si>
  <si>
    <t>Nhóm</t>
  </si>
  <si>
    <t>Thông số</t>
  </si>
  <si>
    <t>Giá trị đề xuất</t>
  </si>
  <si>
    <t>Trạng thái xác nhận</t>
  </si>
  <si>
    <t>Nguồn/Ghi chú</t>
  </si>
  <si>
    <t>Thiết bị</t>
  </si>
  <si>
    <t>Đại lượng đo</t>
  </si>
  <si>
    <t>Nhiệt độ cơ thể</t>
  </si>
  <si>
    <t>Đề xuất</t>
  </si>
  <si>
    <t>Yêu cầu môn học</t>
  </si>
  <si>
    <t>Phương pháp</t>
  </si>
  <si>
    <t>Tiếp xúc bằng TMP117</t>
  </si>
  <si>
    <t>https://www.ti.com/lit/gpn/TMP117</t>
  </si>
  <si>
    <t>Đo lường</t>
  </si>
  <si>
    <t>Dải sử dụng</t>
  </si>
  <si>
    <t>32-43 °C</t>
  </si>
  <si>
    <t>Cần xác nhận</t>
  </si>
  <si>
    <t>Không phải toàn dải hoạt động của IC</t>
  </si>
  <si>
    <t>Độ phân giải hiển thị</t>
  </si>
  <si>
    <t>0,1 °C</t>
  </si>
  <si>
    <t>Giá trị báo cáo cho người dùng</t>
  </si>
  <si>
    <t>Sai số mục tiêu</t>
  </si>
  <si>
    <t>≤ ±0,2 °C so với tham chiếu</t>
  </si>
  <si>
    <t>Tiêu chí môn học, không phải chứng nhận y tế</t>
  </si>
  <si>
    <t>MCU</t>
  </si>
  <si>
    <t>Vi điều khiển</t>
  </si>
  <si>
    <t>ESP32-C3FH4X chip QFN32, Flash 4 MB</t>
  </si>
  <si>
    <t>https://www.espressif.com/sites/default/files/documentation/esp32-c3_datasheet_en.pdf</t>
  </si>
  <si>
    <t>RF</t>
  </si>
  <si>
    <t>Chuẩn Wi-Fi</t>
  </si>
  <si>
    <t>IEEE 802.11b/g/n</t>
  </si>
  <si>
    <t>2,4 GHz</t>
  </si>
  <si>
    <t>Khoảng cách</t>
  </si>
  <si>
    <t>100 m LOS</t>
  </si>
  <si>
    <t>Đo PDR, RSSI, latency</t>
  </si>
  <si>
    <t>Công suất 2 W</t>
  </si>
  <si>
    <t>Tạm hiểu là tổng công suất thiết bị</t>
  </si>
  <si>
    <t>Chưa xác nhận</t>
  </si>
  <si>
    <t>Phải hỏi giảng viên; ESP32 không phát RF 2 W</t>
  </si>
  <si>
    <t>Nguồn</t>
  </si>
  <si>
    <t>Pin</t>
  </si>
  <si>
    <t>Li-ion 1 cell 3,7 V</t>
  </si>
  <si>
    <t>Dung lượng chọn sau khi đo power budget</t>
  </si>
  <si>
    <t>Buck-boost</t>
  </si>
  <si>
    <t>TPS63031, đầu ra 3,3 V</t>
  </si>
  <si>
    <t>https://www.ti.com/lit/ds/symlink/tps63030.pdf</t>
  </si>
  <si>
    <t>PCB</t>
  </si>
  <si>
    <t>Cấu trúc</t>
  </si>
  <si>
    <t>PCB chính + PCB đầu dò, đều tự thiết kế</t>
  </si>
  <si>
    <t>Không dùng module cắm</t>
  </si>
  <si>
    <t>Số lớp</t>
  </si>
  <si>
    <t>4 lớp</t>
  </si>
  <si>
    <t>Cần stack-up để tính RF 50 Ω</t>
  </si>
  <si>
    <t>EMC</t>
  </si>
  <si>
    <t>Tiêu chuẩn nền</t>
  </si>
  <si>
    <t>IEC 60601-1-2 Edition 4.1</t>
  </si>
  <si>
    <t>https://webstore.iec.ch/en/publication/67554</t>
  </si>
  <si>
    <t>Châu Âu</t>
  </si>
  <si>
    <t>EN 60601-1-2:2015+A1:2021</t>
  </si>
  <si>
    <t>Phiên bản khu vực</t>
  </si>
  <si>
    <t>Mỹ</t>
  </si>
  <si>
    <t>ANSI/AAMI/IEC 60601-1-2 + FDA</t>
  </si>
  <si>
    <t>Recognition 19-36</t>
  </si>
  <si>
    <t>Nhật Bản</t>
  </si>
  <si>
    <t>JIS T 0601-1-2:2023</t>
  </si>
  <si>
    <t>Phiên bản Nhật Bản</t>
  </si>
  <si>
    <t>An toàn</t>
  </si>
  <si>
    <t>Đối tượng thử</t>
  </si>
  <si>
    <t>Nguồn nhiệt/bể ổn nhiệt, không thử trên người</t>
  </si>
  <si>
    <t>Bắt buộc</t>
  </si>
  <si>
    <t>Prototype phục vụ môn học</t>
  </si>
  <si>
    <t>☑ Hoàn thành</t>
  </si>
  <si>
    <t xml:space="preserve">Chỉ cấm Modul cắm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</si>
</sst>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0"/>
      <color rgb="FF1F1F1F"/>
      <name val="Aptos"/>
    </font>
    <font>
      <sz val="10"/>
      <color rgb="FF1F1F1F"/>
      <name val="Aptos"/>
    </font>
    <font>
      <i/>
      <sz val="10"/>
      <color rgb="FF1F1F1F"/>
      <name val="Aptos"/>
    </font>
    <font>
      <b/>
      <sz val="18"/>
      <color rgb="FFFFFFFF"/>
      <name val="Aptos"/>
    </font>
    <font>
      <b/>
      <sz val="11"/>
      <color rgb="FFFFFFFF"/>
      <name val="Aptos"/>
    </font>
    <font>
      <b/>
      <sz val="10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4B183"/>
      </left>
      <right/>
      <top style="thin">
        <color rgb="FFF4B183"/>
      </top>
      <bottom/>
      <diagonal/>
    </border>
    <border>
      <left/>
      <right style="thin">
        <color rgb="FFF4B183"/>
      </right>
      <top style="thin">
        <color rgb="FFF4B183"/>
      </top>
      <bottom/>
      <diagonal/>
    </border>
    <border>
      <left style="thin">
        <color rgb="FFF4B183"/>
      </left>
      <right/>
      <top/>
      <bottom/>
      <diagonal/>
    </border>
    <border>
      <left/>
      <right style="thin">
        <color rgb="FFF4B183"/>
      </right>
      <top/>
      <bottom/>
      <diagonal/>
    </border>
    <border>
      <left style="thin">
        <color rgb="FFF4B183"/>
      </left>
      <right/>
      <top/>
      <bottom style="thin">
        <color rgb="FFF4B183"/>
      </bottom>
      <diagonal/>
    </border>
    <border>
      <left/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/>
      <diagonal/>
    </border>
    <border>
      <left style="thin">
        <color rgb="FFF4B183"/>
      </left>
      <right style="thin">
        <color rgb="FFF4B183"/>
      </right>
      <top/>
      <bottom/>
      <diagonal/>
    </border>
    <border>
      <left style="thin">
        <color rgb="FFF4B183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B4C6E7"/>
      </bottom>
      <diagonal/>
    </border>
    <border>
      <left style="thin">
        <color rgb="FFF4B183"/>
      </left>
      <right style="thin">
        <color rgb="FFF4B183"/>
      </right>
      <top style="thin">
        <color rgb="FFB4C6E7"/>
      </top>
      <bottom style="thin">
        <color rgb="FFB4C6E7"/>
      </bottom>
      <diagonal/>
    </border>
    <border>
      <left style="thin">
        <color rgb="FFF4B183"/>
      </left>
      <right style="thin">
        <color rgb="FFF4B183"/>
      </right>
      <top style="thin">
        <color rgb="FFB4C6E7"/>
      </top>
      <bottom style="thin">
        <color rgb="FFF4B183"/>
      </bottom>
      <diagonal/>
    </border>
    <border>
      <left/>
      <right/>
      <top style="thin">
        <color rgb="FFF4B183"/>
      </top>
      <bottom/>
      <diagonal/>
    </border>
    <border>
      <left/>
      <right/>
      <top/>
      <bottom style="thin">
        <color rgb="FFF4B183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164" fontId="2" fillId="4" borderId="12" xfId="0" applyNumberFormat="1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0" borderId="0" xfId="0" applyFont="1" applyAlignment="1">
      <alignment vertical="top" wrapText="1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9" fontId="2" fillId="0" borderId="0" xfId="0" applyNumberFormat="1" applyFont="1" applyAlignment="1">
      <alignment vertical="center"/>
    </xf>
    <xf numFmtId="164" fontId="2" fillId="4" borderId="8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1" fontId="2" fillId="0" borderId="0" xfId="0" applyNumberFormat="1" applyFont="1" applyAlignment="1">
      <alignment vertical="top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164" fontId="2" fillId="4" borderId="9" xfId="0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4" fontId="2" fillId="4" borderId="10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4" borderId="2" xfId="0" applyNumberFormat="1" applyFont="1" applyFill="1" applyBorder="1"/>
    <xf numFmtId="0" fontId="2" fillId="4" borderId="1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164" fontId="2" fillId="4" borderId="4" xfId="0" applyNumberFormat="1" applyFont="1" applyFill="1" applyBorder="1"/>
    <xf numFmtId="0" fontId="2" fillId="4" borderId="0" xfId="0" applyFont="1" applyFill="1" applyAlignment="1">
      <alignment wrapText="1"/>
    </xf>
    <xf numFmtId="0" fontId="2" fillId="4" borderId="5" xfId="0" applyFont="1" applyFill="1" applyBorder="1" applyAlignment="1">
      <alignment wrapText="1"/>
    </xf>
    <xf numFmtId="164" fontId="2" fillId="4" borderId="6" xfId="0" applyNumberFormat="1" applyFont="1" applyFill="1" applyBorder="1"/>
    <xf numFmtId="0" fontId="2" fillId="4" borderId="15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4" borderId="3" xfId="0" applyNumberFormat="1" applyFont="1" applyFill="1" applyBorder="1" applyAlignment="1">
      <alignment vertical="center"/>
    </xf>
    <xf numFmtId="164" fontId="2" fillId="4" borderId="5" xfId="0" applyNumberFormat="1" applyFont="1" applyFill="1" applyBorder="1" applyAlignment="1">
      <alignment vertical="center"/>
    </xf>
    <xf numFmtId="164" fontId="2" fillId="4" borderId="7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12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166534"/>
      </font>
      <fill>
        <patternFill patternType="solid">
          <bgColor rgb="FFE2F0D9"/>
        </patternFill>
      </fill>
    </dxf>
    <dxf>
      <font>
        <b/>
        <color rgb="FF166534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166534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i/>
        <color rgb="FF595959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17365D"/>
      </font>
      <fill>
        <patternFill patternType="solid">
          <bgColor rgb="FFD9EAF7"/>
        </patternFill>
      </fill>
    </dxf>
    <dxf>
      <font>
        <b/>
        <color rgb="FF166534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CTasksTable" displayName="EMCTasksTable" ref="A4:N134" totalsRowShown="0">
  <autoFilter ref="A4:N134" xr:uid="{00000000-0009-0000-0100-000001000000}"/>
  <tableColumns count="14">
    <tableColumn id="1" xr3:uid="{00000000-0010-0000-0000-000001000000}" name="ID"/>
    <tableColumn id="2" xr3:uid="{00000000-0010-0000-0000-000002000000}" name="Giai đoạn"/>
    <tableColumn id="3" xr3:uid="{00000000-0010-0000-0000-000003000000}" name="Đầu việc cụ thể"/>
    <tableColumn id="4" xr3:uid="{00000000-0010-0000-0000-000004000000}" name="Tiêu chí hoàn thành"/>
    <tableColumn id="5" xr3:uid="{00000000-0010-0000-0000-000005000000}" name="Tuần"/>
    <tableColumn id="6" xr3:uid="{00000000-0010-0000-0000-000006000000}" name="Ưu tiên"/>
    <tableColumn id="7" xr3:uid="{00000000-0010-0000-0000-000007000000}" name="Trạng thái"/>
    <tableColumn id="8" xr3:uid="{00000000-0010-0000-0000-000008000000}" name="% HT"/>
    <tableColumn id="9" xr3:uid="{00000000-0010-0000-0000-000009000000}" name="Hạn cá nhân"/>
    <tableColumn id="10" xr3:uid="{00000000-0010-0000-0000-00000A000000}" name="Minh chứng cần lưu"/>
    <tableColumn id="11" xr3:uid="{00000000-0010-0000-0000-00000B000000}" name="Phụ thuộc"/>
    <tableColumn id="12" xr3:uid="{00000000-0010-0000-0000-00000C000000}" name="Nơi lưu/File"/>
    <tableColumn id="13" xr3:uid="{00000000-0010-0000-0000-00000D000000}" name="Ghi chú"/>
    <tableColumn id="14" xr3:uid="{00000000-0010-0000-0000-00000E000000}" name="Quá hạn (ngà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lestonesTable" displayName="MilestonesTable" ref="A4:G15" totalsRowShown="0">
  <tableColumns count="7">
    <tableColumn id="1" xr3:uid="{00000000-0010-0000-0100-000001000000}" name="Mốc"/>
    <tableColumn id="2" xr3:uid="{00000000-0010-0000-0100-000002000000}" name="Tuần"/>
    <tableColumn id="3" xr3:uid="{00000000-0010-0000-0100-000003000000}" name="Điều kiện đạt"/>
    <tableColumn id="4" xr3:uid="{00000000-0010-0000-0100-000004000000}" name="Quyết định sau mốc"/>
    <tableColumn id="5" xr3:uid="{00000000-0010-0000-0100-000005000000}" name="Trạng thái"/>
    <tableColumn id="6" xr3:uid="{00000000-0010-0000-0100-000006000000}" name="Ngày đạt"/>
    <tableColumn id="7" xr3:uid="{00000000-0010-0000-0100-000007000000}" name="Minh chứ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LogTable" displayName="EvidenceLogTable" ref="A4:I64" totalsRowShown="0">
  <tableColumns count="9">
    <tableColumn id="1" xr3:uid="{00000000-0010-0000-0200-000001000000}" name="STT"/>
    <tableColumn id="2" xr3:uid="{00000000-0010-0000-0200-000002000000}" name="Ngày"/>
    <tableColumn id="3" xr3:uid="{00000000-0010-0000-0200-000003000000}" name="Task ID"/>
    <tableColumn id="4" xr3:uid="{00000000-0010-0000-0200-000004000000}" name="Loại minh chứng"/>
    <tableColumn id="5" xr3:uid="{00000000-0010-0000-0200-000005000000}" name="Tên file/minh chứng"/>
    <tableColumn id="6" xr3:uid="{00000000-0010-0000-0200-000006000000}" name="Nơi lưu hoặc liên kết"/>
    <tableColumn id="7" xr3:uid="{00000000-0010-0000-0200-000007000000}" name="Minh chứng điều gì"/>
    <tableColumn id="8" xr3:uid="{00000000-0010-0000-0200-000008000000}" name="Đã kiểm tra?"/>
    <tableColumn id="9" xr3:uid="{00000000-0010-0000-0200-000009000000}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jectSpecsTable" displayName="ProjectSpecsTable" ref="A4:E22" totalsRowShown="0">
  <tableColumns count="5">
    <tableColumn id="1" xr3:uid="{00000000-0010-0000-0300-000001000000}" name="Nhóm"/>
    <tableColumn id="2" xr3:uid="{00000000-0010-0000-0300-000002000000}" name="Thông số"/>
    <tableColumn id="3" xr3:uid="{00000000-0010-0000-0300-000003000000}" name="Giá trị đề xuất"/>
    <tableColumn id="4" xr3:uid="{00000000-0010-0000-0300-000004000000}" name="Trạng thái xác nhận"/>
    <tableColumn id="5" xr3:uid="{00000000-0010-0000-0300-000005000000}" name="Nguồn/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showGridLines="0" topLeftCell="A12" workbookViewId="0">
      <selection activeCell="E20" sqref="E20"/>
    </sheetView>
  </sheetViews>
  <sheetFormatPr defaultRowHeight="13.8"/>
  <cols>
    <col min="1" max="1" width="26" customWidth="1"/>
    <col min="2" max="2" width="15" customWidth="1"/>
    <col min="3" max="5" width="14" customWidth="1"/>
    <col min="6" max="6" width="5" customWidth="1"/>
    <col min="7" max="7" width="8" customWidth="1"/>
    <col min="8" max="8" width="24" customWidth="1"/>
  </cols>
  <sheetData>
    <row r="1" spans="1:8" ht="30" customHeight="1">
      <c r="A1" s="52" t="s">
        <v>0</v>
      </c>
      <c r="B1" s="52" t="s">
        <v>0</v>
      </c>
      <c r="C1" s="52" t="s">
        <v>0</v>
      </c>
      <c r="D1" s="52" t="s">
        <v>0</v>
      </c>
      <c r="E1" s="52" t="s">
        <v>0</v>
      </c>
      <c r="F1" s="52" t="s">
        <v>0</v>
      </c>
      <c r="G1" s="52" t="s">
        <v>0</v>
      </c>
      <c r="H1" s="52" t="s">
        <v>0</v>
      </c>
    </row>
    <row r="2" spans="1:8" ht="30" customHeight="1">
      <c r="A2" s="52" t="s">
        <v>0</v>
      </c>
      <c r="B2" s="52" t="s">
        <v>0</v>
      </c>
      <c r="C2" s="52" t="s">
        <v>0</v>
      </c>
      <c r="D2" s="52" t="s">
        <v>0</v>
      </c>
      <c r="E2" s="52" t="s">
        <v>0</v>
      </c>
      <c r="F2" s="52" t="s">
        <v>0</v>
      </c>
      <c r="G2" s="52" t="s">
        <v>0</v>
      </c>
      <c r="H2" s="52" t="s">
        <v>0</v>
      </c>
    </row>
    <row r="3" spans="1:8">
      <c r="A3" s="1"/>
      <c r="B3" s="1"/>
      <c r="C3" s="1"/>
      <c r="D3" s="1"/>
      <c r="E3" s="1"/>
      <c r="F3" s="1"/>
      <c r="G3" s="1"/>
      <c r="H3" s="1"/>
    </row>
    <row r="4" spans="1:8" ht="14.4">
      <c r="A4" s="62" t="s">
        <v>1</v>
      </c>
      <c r="B4" s="62" t="s">
        <v>1</v>
      </c>
      <c r="C4" s="1"/>
      <c r="D4" s="1"/>
      <c r="E4" s="1"/>
      <c r="F4" s="1"/>
      <c r="G4" s="1"/>
      <c r="H4" s="1"/>
    </row>
    <row r="5" spans="1:8">
      <c r="A5" s="2" t="s">
        <v>2</v>
      </c>
      <c r="B5" s="3" t="s">
        <v>3</v>
      </c>
      <c r="C5" s="1"/>
      <c r="D5" s="1"/>
      <c r="E5" s="1"/>
      <c r="F5" s="1"/>
      <c r="G5" s="1"/>
      <c r="H5" s="1"/>
    </row>
    <row r="6" spans="1:8" ht="69">
      <c r="A6" s="2" t="s">
        <v>4</v>
      </c>
      <c r="B6" s="4" t="s">
        <v>5</v>
      </c>
      <c r="C6" s="1"/>
      <c r="D6" s="1"/>
      <c r="E6" s="1"/>
      <c r="F6" s="1"/>
      <c r="G6" s="1"/>
      <c r="H6" s="1"/>
    </row>
    <row r="7" spans="1:8">
      <c r="A7" s="2" t="s">
        <v>6</v>
      </c>
      <c r="B7" s="5"/>
      <c r="C7" s="1"/>
      <c r="D7" s="1"/>
      <c r="E7" s="1"/>
      <c r="F7" s="1"/>
      <c r="G7" s="1"/>
      <c r="H7" s="1"/>
    </row>
    <row r="8" spans="1:8">
      <c r="A8" s="2" t="s">
        <v>7</v>
      </c>
      <c r="B8" s="6" t="s">
        <v>8</v>
      </c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 ht="14.4">
      <c r="A10" s="62" t="s">
        <v>9</v>
      </c>
      <c r="B10" s="62" t="s">
        <v>9</v>
      </c>
      <c r="C10" s="62" t="s">
        <v>9</v>
      </c>
      <c r="D10" s="62" t="s">
        <v>9</v>
      </c>
      <c r="E10" s="62" t="s">
        <v>9</v>
      </c>
      <c r="F10" s="62" t="s">
        <v>9</v>
      </c>
      <c r="G10" s="62" t="s">
        <v>9</v>
      </c>
      <c r="H10" s="62" t="s">
        <v>9</v>
      </c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63" t="s">
        <v>10</v>
      </c>
      <c r="B12" s="63"/>
      <c r="C12" s="63" t="s">
        <v>11</v>
      </c>
      <c r="D12" s="63"/>
      <c r="E12" s="63" t="s">
        <v>12</v>
      </c>
      <c r="F12" s="63"/>
      <c r="G12" s="63" t="s">
        <v>13</v>
      </c>
      <c r="H12" s="63"/>
    </row>
    <row r="13" spans="1:8">
      <c r="A13" s="56">
        <f>COUNTIF(Checklist!$A$5:$A$134,"&lt;&gt;")</f>
        <v>130</v>
      </c>
      <c r="B13" s="56"/>
      <c r="C13" s="57">
        <f>COUNTIF(Checklist!$G$5:$G$134,"☑ Hoàn thành")</f>
        <v>6</v>
      </c>
      <c r="D13" s="57"/>
      <c r="E13" s="58">
        <f>COUNTIF(Checklist!$G$5:$G$134,"◐ Đang làm")</f>
        <v>0</v>
      </c>
      <c r="F13" s="58"/>
      <c r="G13" s="59">
        <f>COUNTIF(Checklist!$G$5:$G$134,"⚠ Bị chặn")</f>
        <v>0</v>
      </c>
      <c r="H13" s="59"/>
    </row>
    <row r="14" spans="1:8">
      <c r="A14" s="56"/>
      <c r="B14" s="56"/>
      <c r="C14" s="57"/>
      <c r="D14" s="57"/>
      <c r="E14" s="58"/>
      <c r="F14" s="58"/>
      <c r="G14" s="59"/>
      <c r="H14" s="59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60" t="s">
        <v>14</v>
      </c>
      <c r="B16" s="60" t="s">
        <v>14</v>
      </c>
      <c r="C16" s="61">
        <f>IFERROR(SUM(Checklist!$H$5:$H$134)/(COUNTIF(Checklist!$A$5:$A$134,"&lt;&gt;")-COUNTIF(Checklist!$G$5:$G$134,"— Không áp dụng")),0)</f>
        <v>4.6153846153846156E-2</v>
      </c>
      <c r="D16" s="61"/>
      <c r="E16" s="61"/>
      <c r="F16" s="61"/>
      <c r="G16" s="61"/>
      <c r="H16" s="61"/>
    </row>
    <row r="17" spans="1:8">
      <c r="A17" s="54" t="s">
        <v>15</v>
      </c>
      <c r="B17" s="54" t="s">
        <v>15</v>
      </c>
      <c r="C17" s="54">
        <f>COUNTIF(Checklist!$G$5:$G$134,"— Không áp dụng")</f>
        <v>0</v>
      </c>
      <c r="D17" s="54"/>
      <c r="E17" s="54"/>
      <c r="F17" s="54"/>
      <c r="G17" s="54"/>
      <c r="H17" s="5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46" t="s">
        <v>16</v>
      </c>
      <c r="B19" s="46" t="s">
        <v>17</v>
      </c>
      <c r="C19" s="46" t="s">
        <v>18</v>
      </c>
      <c r="D19" s="46" t="s">
        <v>12</v>
      </c>
      <c r="E19" s="46" t="s">
        <v>19</v>
      </c>
      <c r="F19" s="1"/>
      <c r="G19" s="55" t="s">
        <v>20</v>
      </c>
      <c r="H19" s="55" t="s">
        <v>20</v>
      </c>
    </row>
    <row r="20" spans="1:8">
      <c r="A20" s="8" t="s">
        <v>21</v>
      </c>
      <c r="B20" s="9">
        <f>COUNTIF(Checklist!$B$5:$B$134,A20)</f>
        <v>5</v>
      </c>
      <c r="C20" s="9">
        <f>COUNTIFS(Checklist!$B$5:$B$134,A20,Checklist!$G$5:$G$134,"☑ Hoàn thành")</f>
        <v>5</v>
      </c>
      <c r="D20" s="9">
        <f>COUNTIFS(Checklist!$B$5:$B$134,A20,Checklist!$G$5:$G$134,"◐ Đang làm")</f>
        <v>0</v>
      </c>
      <c r="E20" s="10">
        <f>IFERROR(SUMIF(Checklist!$B$5:$B$134,A20,Checklist!$H$5:$H$134)/(COUNTIF(Checklist!$B$5:$B$134,A20)-COUNTIFS(Checklist!$B$5:$B$134,A20,Checklist!$G$5:$G$134,"— Không áp dụng")),0)</f>
        <v>1</v>
      </c>
      <c r="F20" s="1"/>
      <c r="G20" s="7" t="s">
        <v>22</v>
      </c>
      <c r="H20" s="7" t="s">
        <v>23</v>
      </c>
    </row>
    <row r="21" spans="1:8">
      <c r="A21" s="8" t="s">
        <v>24</v>
      </c>
      <c r="B21" s="9">
        <f>COUNTIF(Checklist!$B$5:$B$134,A21)</f>
        <v>10</v>
      </c>
      <c r="C21" s="9">
        <f>COUNTIFS(Checklist!$B$5:$B$134,A21,Checklist!$G$5:$G$134,"☑ Hoàn thành")</f>
        <v>1</v>
      </c>
      <c r="D21" s="9">
        <f>COUNTIFS(Checklist!$B$5:$B$134,A21,Checklist!$G$5:$G$134,"◐ Đang làm")</f>
        <v>0</v>
      </c>
      <c r="E21" s="10">
        <f>IFERROR(SUMIF(Checklist!$B$5:$B$134,A21,Checklist!$H$5:$H$134)/(COUNTIF(Checklist!$B$5:$B$134,A21)-COUNTIFS(Checklist!$B$5:$B$134,A21,Checklist!$G$5:$G$134,"— Không áp dụng")),0)</f>
        <v>0.1</v>
      </c>
      <c r="F21" s="1"/>
      <c r="G21" s="11" t="s">
        <v>25</v>
      </c>
      <c r="H21" s="11" t="s">
        <v>12</v>
      </c>
    </row>
    <row r="22" spans="1:8">
      <c r="A22" s="8" t="s">
        <v>26</v>
      </c>
      <c r="B22" s="9">
        <f>COUNTIF(Checklist!$B$5:$B$134,A22)</f>
        <v>8</v>
      </c>
      <c r="C22" s="9">
        <f>COUNTIFS(Checklist!$B$5:$B$134,A22,Checklist!$G$5:$G$134,"☑ Hoàn thành")</f>
        <v>0</v>
      </c>
      <c r="D22" s="9">
        <f>COUNTIFS(Checklist!$B$5:$B$134,A22,Checklist!$G$5:$G$134,"◐ Đang làm")</f>
        <v>0</v>
      </c>
      <c r="E22" s="10">
        <f>IFERROR(SUMIF(Checklist!$B$5:$B$134,A22,Checklist!$H$5:$H$134)/(COUNTIF(Checklist!$B$5:$B$134,A22)-COUNTIFS(Checklist!$B$5:$B$134,A22,Checklist!$G$5:$G$134,"— Không áp dụng")),0)</f>
        <v>0</v>
      </c>
      <c r="F22" s="1"/>
      <c r="G22" s="12" t="s">
        <v>27</v>
      </c>
      <c r="H22" s="12" t="s">
        <v>13</v>
      </c>
    </row>
    <row r="23" spans="1:8">
      <c r="A23" s="8" t="s">
        <v>28</v>
      </c>
      <c r="B23" s="9">
        <f>COUNTIF(Checklist!$B$5:$B$134,A23)</f>
        <v>10</v>
      </c>
      <c r="C23" s="9">
        <f>COUNTIFS(Checklist!$B$5:$B$134,A23,Checklist!$G$5:$G$134,"☑ Hoàn thành")</f>
        <v>0</v>
      </c>
      <c r="D23" s="9">
        <f>COUNTIFS(Checklist!$B$5:$B$134,A23,Checklist!$G$5:$G$134,"◐ Đang làm")</f>
        <v>0</v>
      </c>
      <c r="E23" s="10">
        <f>IFERROR(SUMIF(Checklist!$B$5:$B$134,A23,Checklist!$H$5:$H$134)/(COUNTIF(Checklist!$B$5:$B$134,A23)-COUNTIFS(Checklist!$B$5:$B$134,A23,Checklist!$G$5:$G$134,"— Không áp dụng")),0)</f>
        <v>0</v>
      </c>
      <c r="F23" s="1"/>
      <c r="G23" s="13" t="s">
        <v>29</v>
      </c>
      <c r="H23" s="13" t="s">
        <v>18</v>
      </c>
    </row>
    <row r="24" spans="1:8">
      <c r="A24" s="8" t="s">
        <v>30</v>
      </c>
      <c r="B24" s="9">
        <f>COUNTIF(Checklist!$B$5:$B$134,A24)</f>
        <v>8</v>
      </c>
      <c r="C24" s="9">
        <f>COUNTIFS(Checklist!$B$5:$B$134,A24,Checklist!$G$5:$G$134,"☑ Hoàn thành")</f>
        <v>0</v>
      </c>
      <c r="D24" s="9">
        <f>COUNTIFS(Checklist!$B$5:$B$134,A24,Checklist!$G$5:$G$134,"◐ Đang làm")</f>
        <v>0</v>
      </c>
      <c r="E24" s="10">
        <f>IFERROR(SUMIF(Checklist!$B$5:$B$134,A24,Checklist!$H$5:$H$134)/(COUNTIF(Checklist!$B$5:$B$134,A24)-COUNTIFS(Checklist!$B$5:$B$134,A24,Checklist!$G$5:$G$134,"— Không áp dụng")),0)</f>
        <v>0</v>
      </c>
      <c r="F24" s="1"/>
      <c r="G24" s="7" t="s">
        <v>31</v>
      </c>
      <c r="H24" s="7" t="s">
        <v>15</v>
      </c>
    </row>
    <row r="25" spans="1:8">
      <c r="A25" s="8" t="s">
        <v>32</v>
      </c>
      <c r="B25" s="9">
        <f>COUNTIF(Checklist!$B$5:$B$134,A25)</f>
        <v>12</v>
      </c>
      <c r="C25" s="9">
        <f>COUNTIFS(Checklist!$B$5:$B$134,A25,Checklist!$G$5:$G$134,"☑ Hoàn thành")</f>
        <v>0</v>
      </c>
      <c r="D25" s="9">
        <f>COUNTIFS(Checklist!$B$5:$B$134,A25,Checklist!$G$5:$G$134,"◐ Đang làm")</f>
        <v>0</v>
      </c>
      <c r="E25" s="10">
        <f>IFERROR(SUMIF(Checklist!$B$5:$B$134,A25,Checklist!$H$5:$H$134)/(COUNTIF(Checklist!$B$5:$B$134,A25)-COUNTIFS(Checklist!$B$5:$B$134,A25,Checklist!$G$5:$G$134,"— Không áp dụng")),0)</f>
        <v>0</v>
      </c>
      <c r="F25" s="1"/>
      <c r="G25" s="1"/>
      <c r="H25" s="1"/>
    </row>
    <row r="26" spans="1:8">
      <c r="A26" s="8" t="s">
        <v>33</v>
      </c>
      <c r="B26" s="9">
        <f>COUNTIF(Checklist!$B$5:$B$134,A26)</f>
        <v>14</v>
      </c>
      <c r="C26" s="9">
        <f>COUNTIFS(Checklist!$B$5:$B$134,A26,Checklist!$G$5:$G$134,"☑ Hoàn thành")</f>
        <v>0</v>
      </c>
      <c r="D26" s="9">
        <f>COUNTIFS(Checklist!$B$5:$B$134,A26,Checklist!$G$5:$G$134,"◐ Đang làm")</f>
        <v>0</v>
      </c>
      <c r="E26" s="10">
        <f>IFERROR(SUMIF(Checklist!$B$5:$B$134,A26,Checklist!$H$5:$H$134)/(COUNTIF(Checklist!$B$5:$B$134,A26)-COUNTIFS(Checklist!$B$5:$B$134,A26,Checklist!$G$5:$G$134,"— Không áp dụng")),0)</f>
        <v>0</v>
      </c>
      <c r="F26" s="1"/>
      <c r="G26" s="1"/>
      <c r="H26" s="1"/>
    </row>
    <row r="27" spans="1:8">
      <c r="A27" s="8" t="s">
        <v>34</v>
      </c>
      <c r="B27" s="9">
        <f>COUNTIF(Checklist!$B$5:$B$134,A27)</f>
        <v>15</v>
      </c>
      <c r="C27" s="9">
        <f>COUNTIFS(Checklist!$B$5:$B$134,A27,Checklist!$G$5:$G$134,"☑ Hoàn thành")</f>
        <v>0</v>
      </c>
      <c r="D27" s="9">
        <f>COUNTIFS(Checklist!$B$5:$B$134,A27,Checklist!$G$5:$G$134,"◐ Đang làm")</f>
        <v>0</v>
      </c>
      <c r="E27" s="10">
        <f>IFERROR(SUMIF(Checklist!$B$5:$B$134,A27,Checklist!$H$5:$H$134)/(COUNTIF(Checklist!$B$5:$B$134,A27)-COUNTIFS(Checklist!$B$5:$B$134,A27,Checklist!$G$5:$G$134,"— Không áp dụng")),0)</f>
        <v>0</v>
      </c>
      <c r="F27" s="1"/>
      <c r="G27" s="1"/>
      <c r="H27" s="1"/>
    </row>
    <row r="28" spans="1:8">
      <c r="A28" s="8" t="s">
        <v>35</v>
      </c>
      <c r="B28" s="9">
        <f>COUNTIF(Checklist!$B$5:$B$134,A28)</f>
        <v>14</v>
      </c>
      <c r="C28" s="9">
        <f>COUNTIFS(Checklist!$B$5:$B$134,A28,Checklist!$G$5:$G$134,"☑ Hoàn thành")</f>
        <v>0</v>
      </c>
      <c r="D28" s="9">
        <f>COUNTIFS(Checklist!$B$5:$B$134,A28,Checklist!$G$5:$G$134,"◐ Đang làm")</f>
        <v>0</v>
      </c>
      <c r="E28" s="10">
        <f>IFERROR(SUMIF(Checklist!$B$5:$B$134,A28,Checklist!$H$5:$H$134)/(COUNTIF(Checklist!$B$5:$B$134,A28)-COUNTIFS(Checklist!$B$5:$B$134,A28,Checklist!$G$5:$G$134,"— Không áp dụng")),0)</f>
        <v>0</v>
      </c>
      <c r="F28" s="1"/>
      <c r="G28" s="1"/>
      <c r="H28" s="1"/>
    </row>
    <row r="29" spans="1:8">
      <c r="A29" s="8" t="s">
        <v>36</v>
      </c>
      <c r="B29" s="9">
        <f>COUNTIF(Checklist!$B$5:$B$134,A29)</f>
        <v>8</v>
      </c>
      <c r="C29" s="9">
        <f>COUNTIFS(Checklist!$B$5:$B$134,A29,Checklist!$G$5:$G$134,"☑ Hoàn thành")</f>
        <v>0</v>
      </c>
      <c r="D29" s="9">
        <f>COUNTIFS(Checklist!$B$5:$B$134,A29,Checklist!$G$5:$G$134,"◐ Đang làm")</f>
        <v>0</v>
      </c>
      <c r="E29" s="10">
        <f>IFERROR(SUMIF(Checklist!$B$5:$B$134,A29,Checklist!$H$5:$H$134)/(COUNTIF(Checklist!$B$5:$B$134,A29)-COUNTIFS(Checklist!$B$5:$B$134,A29,Checklist!$G$5:$G$134,"— Không áp dụng")),0)</f>
        <v>0</v>
      </c>
      <c r="F29" s="1"/>
      <c r="G29" s="1"/>
      <c r="H29" s="1"/>
    </row>
    <row r="30" spans="1:8">
      <c r="A30" s="8" t="s">
        <v>37</v>
      </c>
      <c r="B30" s="9">
        <f>COUNTIF(Checklist!$B$5:$B$134,A30)</f>
        <v>14</v>
      </c>
      <c r="C30" s="9">
        <f>COUNTIFS(Checklist!$B$5:$B$134,A30,Checklist!$G$5:$G$134,"☑ Hoàn thành")</f>
        <v>0</v>
      </c>
      <c r="D30" s="9">
        <f>COUNTIFS(Checklist!$B$5:$B$134,A30,Checklist!$G$5:$G$134,"◐ Đang làm")</f>
        <v>0</v>
      </c>
      <c r="E30" s="10">
        <f>IFERROR(SUMIF(Checklist!$B$5:$B$134,A30,Checklist!$H$5:$H$134)/(COUNTIF(Checklist!$B$5:$B$134,A30)-COUNTIFS(Checklist!$B$5:$B$134,A30,Checklist!$G$5:$G$134,"— Không áp dụng")),0)</f>
        <v>0</v>
      </c>
      <c r="F30" s="1"/>
      <c r="G30" s="1"/>
      <c r="H30" s="1"/>
    </row>
    <row r="31" spans="1:8">
      <c r="A31" s="8" t="s">
        <v>38</v>
      </c>
      <c r="B31" s="9">
        <f>COUNTIF(Checklist!$B$5:$B$134,A31)</f>
        <v>12</v>
      </c>
      <c r="C31" s="9">
        <f>COUNTIFS(Checklist!$B$5:$B$134,A31,Checklist!$G$5:$G$134,"☑ Hoàn thành")</f>
        <v>0</v>
      </c>
      <c r="D31" s="9">
        <f>COUNTIFS(Checklist!$B$5:$B$134,A31,Checklist!$G$5:$G$134,"◐ Đang làm")</f>
        <v>0</v>
      </c>
      <c r="E31" s="10">
        <f>IFERROR(SUMIF(Checklist!$B$5:$B$134,A31,Checklist!$H$5:$H$134)/(COUNTIF(Checklist!$B$5:$B$134,A31)-COUNTIFS(Checklist!$B$5:$B$134,A31,Checklist!$G$5:$G$134,"— Không áp dụng")),0)</f>
        <v>0</v>
      </c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16">
    <mergeCell ref="A1:H2"/>
    <mergeCell ref="A4:B4"/>
    <mergeCell ref="A10:H10"/>
    <mergeCell ref="A12:B12"/>
    <mergeCell ref="C12:D12"/>
    <mergeCell ref="E12:F12"/>
    <mergeCell ref="G12:H12"/>
    <mergeCell ref="A17:B17"/>
    <mergeCell ref="C17:H17"/>
    <mergeCell ref="G19:H19"/>
    <mergeCell ref="A13:B14"/>
    <mergeCell ref="C13:D14"/>
    <mergeCell ref="E13:F14"/>
    <mergeCell ref="G13:H14"/>
    <mergeCell ref="A16:B16"/>
    <mergeCell ref="C16:H16"/>
  </mergeCells>
  <conditionalFormatting sqref="C16:H16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{7206B24D-F59B-69D9-FE0C-7DADBDCA6F55}</x14:id>
        </ext>
      </extLst>
    </cfRule>
  </conditionalFormatting>
  <conditionalFormatting sqref="E20:E31">
    <cfRule type="dataBar" priority="2">
      <dataBar>
        <cfvo type="min"/>
        <cfvo type="max"/>
        <color rgb="FF2F75B5"/>
      </dataBar>
    </cfRule>
    <cfRule type="dataBar" priority="4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{FB8E5F46-46A3-7D29-EA8E-7EFE5B690390}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06B24D-F59B-69D9-FE0C-7DADBDCA6F55}">
            <x14:dataBar>
              <x14:cfvo type="min"/>
              <x14:cfvo type="max"/>
              <x14:negativeFillColor auto="1"/>
              <x14:axisColor auto="1"/>
            </x14:dataBar>
          </x14:cfRule>
          <xm:sqref>C16:H16</xm:sqref>
        </x14:conditionalFormatting>
        <x14:conditionalFormatting xmlns:xm="http://schemas.microsoft.com/office/excel/2006/main">
          <x14:cfRule type="dataBar" id="{FB8E5F46-46A3-7D29-EA8E-7EFE5B690390}">
            <x14:dataBar>
              <x14:cfvo type="min"/>
              <x14:cfvo type="max"/>
              <x14:negativeFillColor auto="1"/>
              <x14:axisColor auto="1"/>
            </x14:dataBar>
          </x14:cfRule>
          <xm:sqref>E20:E31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4"/>
  <sheetViews>
    <sheetView showGridLines="0" tabSelected="1" workbookViewId="0">
      <selection activeCell="G10" sqref="G10"/>
    </sheetView>
  </sheetViews>
  <sheetFormatPr defaultRowHeight="13.8"/>
  <cols>
    <col min="1" max="1" width="11" customWidth="1"/>
    <col min="2" max="2" width="25" customWidth="1"/>
    <col min="3" max="3" width="43" customWidth="1"/>
    <col min="4" max="4" width="42" customWidth="1"/>
    <col min="5" max="5" width="10" customWidth="1"/>
    <col min="6" max="6" width="12" customWidth="1"/>
    <col min="7" max="7" width="19" customWidth="1"/>
    <col min="8" max="8" width="9" customWidth="1"/>
    <col min="9" max="9" width="14" customWidth="1"/>
    <col min="10" max="10" width="30" customWidth="1"/>
    <col min="11" max="11" width="14" customWidth="1"/>
    <col min="12" max="12" width="26" customWidth="1"/>
    <col min="13" max="13" width="27" customWidth="1"/>
    <col min="14" max="14" width="13" customWidth="1"/>
  </cols>
  <sheetData>
    <row r="1" spans="1:14" ht="30" customHeight="1">
      <c r="A1" s="52" t="s">
        <v>39</v>
      </c>
      <c r="B1" s="52" t="s">
        <v>39</v>
      </c>
      <c r="C1" s="52" t="s">
        <v>39</v>
      </c>
      <c r="D1" s="52" t="s">
        <v>39</v>
      </c>
      <c r="E1" s="52" t="s">
        <v>39</v>
      </c>
      <c r="F1" s="52" t="s">
        <v>39</v>
      </c>
      <c r="G1" s="52" t="s">
        <v>39</v>
      </c>
      <c r="H1" s="52" t="s">
        <v>39</v>
      </c>
      <c r="I1" s="52" t="s">
        <v>39</v>
      </c>
      <c r="J1" s="52" t="s">
        <v>39</v>
      </c>
      <c r="K1" s="52" t="s">
        <v>39</v>
      </c>
      <c r="L1" s="52" t="s">
        <v>39</v>
      </c>
      <c r="M1" s="52" t="s">
        <v>39</v>
      </c>
      <c r="N1" s="52" t="s">
        <v>39</v>
      </c>
    </row>
    <row r="2" spans="1:14" ht="30" customHeight="1">
      <c r="A2" s="52" t="s">
        <v>39</v>
      </c>
      <c r="B2" s="52" t="s">
        <v>39</v>
      </c>
      <c r="C2" s="52" t="s">
        <v>39</v>
      </c>
      <c r="D2" s="52" t="s">
        <v>39</v>
      </c>
      <c r="E2" s="52" t="s">
        <v>39</v>
      </c>
      <c r="F2" s="52" t="s">
        <v>39</v>
      </c>
      <c r="G2" s="52" t="s">
        <v>39</v>
      </c>
      <c r="H2" s="52" t="s">
        <v>39</v>
      </c>
      <c r="I2" s="52" t="s">
        <v>39</v>
      </c>
      <c r="J2" s="52" t="s">
        <v>39</v>
      </c>
      <c r="K2" s="52" t="s">
        <v>39</v>
      </c>
      <c r="L2" s="52" t="s">
        <v>39</v>
      </c>
      <c r="M2" s="52" t="s">
        <v>39</v>
      </c>
      <c r="N2" s="52" t="s">
        <v>39</v>
      </c>
    </row>
    <row r="3" spans="1:14" ht="28.05" customHeight="1">
      <c r="A3" s="53" t="s">
        <v>40</v>
      </c>
      <c r="B3" s="53" t="s">
        <v>40</v>
      </c>
      <c r="C3" s="53" t="s">
        <v>40</v>
      </c>
      <c r="D3" s="53" t="s">
        <v>40</v>
      </c>
      <c r="E3" s="53" t="s">
        <v>40</v>
      </c>
      <c r="F3" s="53" t="s">
        <v>40</v>
      </c>
      <c r="G3" s="53" t="s">
        <v>40</v>
      </c>
      <c r="H3" s="53" t="s">
        <v>40</v>
      </c>
      <c r="I3" s="53" t="s">
        <v>40</v>
      </c>
      <c r="J3" s="53" t="s">
        <v>40</v>
      </c>
      <c r="K3" s="53" t="s">
        <v>40</v>
      </c>
      <c r="L3" s="53" t="s">
        <v>40</v>
      </c>
      <c r="M3" s="53" t="s">
        <v>40</v>
      </c>
      <c r="N3" s="53" t="s">
        <v>40</v>
      </c>
    </row>
    <row r="4" spans="1:14" ht="36" customHeight="1">
      <c r="A4" s="46" t="s">
        <v>41</v>
      </c>
      <c r="B4" s="46" t="s">
        <v>16</v>
      </c>
      <c r="C4" s="46" t="s">
        <v>42</v>
      </c>
      <c r="D4" s="46" t="s">
        <v>43</v>
      </c>
      <c r="E4" s="46" t="s">
        <v>44</v>
      </c>
      <c r="F4" s="46" t="s">
        <v>45</v>
      </c>
      <c r="G4" s="46" t="s">
        <v>46</v>
      </c>
      <c r="H4" s="46" t="s">
        <v>47</v>
      </c>
      <c r="I4" s="46" t="s">
        <v>48</v>
      </c>
      <c r="J4" s="46" t="s">
        <v>49</v>
      </c>
      <c r="K4" s="46" t="s">
        <v>50</v>
      </c>
      <c r="L4" s="46" t="s">
        <v>51</v>
      </c>
      <c r="M4" s="46" t="s">
        <v>52</v>
      </c>
      <c r="N4" s="46" t="s">
        <v>53</v>
      </c>
    </row>
    <row r="5" spans="1:14" ht="34.049999999999997" customHeight="1">
      <c r="A5" s="1" t="s">
        <v>54</v>
      </c>
      <c r="B5" s="1" t="s">
        <v>21</v>
      </c>
      <c r="C5" s="14" t="s">
        <v>55</v>
      </c>
      <c r="D5" s="14" t="s">
        <v>56</v>
      </c>
      <c r="E5" s="1" t="s">
        <v>57</v>
      </c>
      <c r="F5" s="15" t="s">
        <v>58</v>
      </c>
      <c r="G5" s="16" t="s">
        <v>772</v>
      </c>
      <c r="H5" s="17">
        <f t="shared" ref="H5:H36" si="0">IF(G5="☑ Hoàn thành",1,IF(G5="◐ Đang làm",0.5,IF(G5="⚠ Bị chặn",0.25,0)))</f>
        <v>1</v>
      </c>
      <c r="I5" s="18"/>
      <c r="J5" s="14" t="s">
        <v>60</v>
      </c>
      <c r="K5" s="14" t="s">
        <v>61</v>
      </c>
      <c r="L5" s="19"/>
      <c r="M5" s="20"/>
      <c r="N5" s="21" t="str">
        <f t="shared" ref="N5:N36" ca="1" si="1">IF(OR(I5="",G5="☑ Hoàn thành",G5="— Không áp dụng"),"",MAX(0,TODAY()-I5))</f>
        <v/>
      </c>
    </row>
    <row r="6" spans="1:14" ht="34.049999999999997" customHeight="1">
      <c r="A6" s="1" t="s">
        <v>62</v>
      </c>
      <c r="B6" s="1" t="s">
        <v>21</v>
      </c>
      <c r="C6" s="14" t="s">
        <v>63</v>
      </c>
      <c r="D6" s="14" t="s">
        <v>64</v>
      </c>
      <c r="E6" s="1" t="s">
        <v>57</v>
      </c>
      <c r="F6" s="22" t="s">
        <v>58</v>
      </c>
      <c r="G6" s="23" t="s">
        <v>772</v>
      </c>
      <c r="H6" s="17">
        <f t="shared" si="0"/>
        <v>1</v>
      </c>
      <c r="I6" s="24"/>
      <c r="J6" s="14" t="s">
        <v>65</v>
      </c>
      <c r="K6" s="14" t="s">
        <v>54</v>
      </c>
      <c r="L6" s="25"/>
      <c r="M6" s="26"/>
      <c r="N6" s="21" t="str">
        <f t="shared" ca="1" si="1"/>
        <v/>
      </c>
    </row>
    <row r="7" spans="1:14" ht="34.049999999999997" customHeight="1">
      <c r="A7" s="1" t="s">
        <v>66</v>
      </c>
      <c r="B7" s="1" t="s">
        <v>21</v>
      </c>
      <c r="C7" s="14" t="s">
        <v>67</v>
      </c>
      <c r="D7" s="14" t="s">
        <v>68</v>
      </c>
      <c r="E7" s="1" t="s">
        <v>57</v>
      </c>
      <c r="F7" s="22" t="s">
        <v>69</v>
      </c>
      <c r="G7" s="23" t="s">
        <v>772</v>
      </c>
      <c r="H7" s="17">
        <f t="shared" si="0"/>
        <v>1</v>
      </c>
      <c r="I7" s="24"/>
      <c r="J7" s="14" t="s">
        <v>70</v>
      </c>
      <c r="K7" s="14" t="s">
        <v>54</v>
      </c>
      <c r="L7" s="25"/>
      <c r="M7" s="26"/>
      <c r="N7" s="21" t="str">
        <f t="shared" ca="1" si="1"/>
        <v/>
      </c>
    </row>
    <row r="8" spans="1:14" ht="34.049999999999997" customHeight="1">
      <c r="A8" s="1" t="s">
        <v>71</v>
      </c>
      <c r="B8" s="1" t="s">
        <v>21</v>
      </c>
      <c r="C8" s="14" t="s">
        <v>72</v>
      </c>
      <c r="D8" s="14" t="s">
        <v>73</v>
      </c>
      <c r="E8" s="1" t="s">
        <v>74</v>
      </c>
      <c r="F8" s="22" t="s">
        <v>58</v>
      </c>
      <c r="G8" s="23" t="s">
        <v>772</v>
      </c>
      <c r="H8" s="17">
        <f t="shared" si="0"/>
        <v>1</v>
      </c>
      <c r="I8" s="24"/>
      <c r="J8" s="14" t="s">
        <v>75</v>
      </c>
      <c r="K8" s="14" t="s">
        <v>54</v>
      </c>
      <c r="L8" s="25"/>
      <c r="M8" s="26"/>
      <c r="N8" s="21" t="str">
        <f t="shared" ca="1" si="1"/>
        <v/>
      </c>
    </row>
    <row r="9" spans="1:14" ht="34.049999999999997" customHeight="1">
      <c r="A9" s="1" t="s">
        <v>76</v>
      </c>
      <c r="B9" s="1" t="s">
        <v>21</v>
      </c>
      <c r="C9" s="14" t="s">
        <v>77</v>
      </c>
      <c r="D9" s="14" t="s">
        <v>78</v>
      </c>
      <c r="E9" s="1" t="s">
        <v>57</v>
      </c>
      <c r="F9" s="22" t="s">
        <v>58</v>
      </c>
      <c r="G9" s="23" t="s">
        <v>772</v>
      </c>
      <c r="H9" s="17">
        <f t="shared" si="0"/>
        <v>1</v>
      </c>
      <c r="I9" s="24"/>
      <c r="J9" s="14" t="s">
        <v>79</v>
      </c>
      <c r="K9" s="14" t="s">
        <v>62</v>
      </c>
      <c r="L9" s="25"/>
      <c r="M9" s="26"/>
      <c r="N9" s="21" t="str">
        <f t="shared" ca="1" si="1"/>
        <v/>
      </c>
    </row>
    <row r="10" spans="1:14" ht="34.049999999999997" customHeight="1">
      <c r="A10" s="1" t="s">
        <v>80</v>
      </c>
      <c r="B10" s="1" t="s">
        <v>24</v>
      </c>
      <c r="C10" s="14" t="s">
        <v>81</v>
      </c>
      <c r="D10" s="14" t="s">
        <v>82</v>
      </c>
      <c r="E10" s="1" t="s">
        <v>57</v>
      </c>
      <c r="F10" s="22" t="s">
        <v>58</v>
      </c>
      <c r="G10" s="23" t="s">
        <v>59</v>
      </c>
      <c r="H10" s="17">
        <f t="shared" si="0"/>
        <v>0</v>
      </c>
      <c r="I10" s="24"/>
      <c r="J10" s="14" t="s">
        <v>83</v>
      </c>
      <c r="K10" s="14" t="s">
        <v>61</v>
      </c>
      <c r="L10" s="25"/>
      <c r="M10" s="26"/>
      <c r="N10" s="21" t="str">
        <f t="shared" ca="1" si="1"/>
        <v/>
      </c>
    </row>
    <row r="11" spans="1:14" ht="34.049999999999997" customHeight="1">
      <c r="A11" s="1" t="s">
        <v>84</v>
      </c>
      <c r="B11" s="1" t="s">
        <v>24</v>
      </c>
      <c r="C11" s="14" t="s">
        <v>85</v>
      </c>
      <c r="D11" s="14" t="s">
        <v>86</v>
      </c>
      <c r="E11" s="1" t="s">
        <v>87</v>
      </c>
      <c r="F11" s="22" t="s">
        <v>58</v>
      </c>
      <c r="G11" s="23" t="s">
        <v>59</v>
      </c>
      <c r="H11" s="17">
        <f t="shared" si="0"/>
        <v>0</v>
      </c>
      <c r="I11" s="24"/>
      <c r="J11" s="14" t="s">
        <v>88</v>
      </c>
      <c r="K11" s="14" t="s">
        <v>80</v>
      </c>
      <c r="L11" s="25"/>
      <c r="M11" s="26"/>
      <c r="N11" s="21" t="str">
        <f t="shared" ca="1" si="1"/>
        <v/>
      </c>
    </row>
    <row r="12" spans="1:14" ht="34.049999999999997" customHeight="1">
      <c r="A12" s="1" t="s">
        <v>89</v>
      </c>
      <c r="B12" s="1" t="s">
        <v>24</v>
      </c>
      <c r="C12" s="14" t="s">
        <v>90</v>
      </c>
      <c r="D12" s="14" t="s">
        <v>91</v>
      </c>
      <c r="E12" s="1" t="s">
        <v>87</v>
      </c>
      <c r="F12" s="22" t="s">
        <v>58</v>
      </c>
      <c r="G12" s="23" t="s">
        <v>772</v>
      </c>
      <c r="H12" s="17">
        <f t="shared" si="0"/>
        <v>1</v>
      </c>
      <c r="I12" s="24"/>
      <c r="J12" s="14" t="s">
        <v>773</v>
      </c>
      <c r="K12" s="14" t="s">
        <v>80</v>
      </c>
      <c r="L12" s="25"/>
      <c r="M12" s="26"/>
      <c r="N12" s="21" t="str">
        <f t="shared" ca="1" si="1"/>
        <v/>
      </c>
    </row>
    <row r="13" spans="1:14" ht="34.049999999999997" customHeight="1">
      <c r="A13" s="1" t="s">
        <v>93</v>
      </c>
      <c r="B13" s="1" t="s">
        <v>24</v>
      </c>
      <c r="C13" s="14" t="s">
        <v>94</v>
      </c>
      <c r="D13" s="14" t="s">
        <v>95</v>
      </c>
      <c r="E13" s="1" t="s">
        <v>96</v>
      </c>
      <c r="F13" s="22" t="s">
        <v>58</v>
      </c>
      <c r="G13" s="23" t="s">
        <v>59</v>
      </c>
      <c r="H13" s="17">
        <f t="shared" si="0"/>
        <v>0</v>
      </c>
      <c r="I13" s="24"/>
      <c r="J13" s="14" t="s">
        <v>97</v>
      </c>
      <c r="K13" s="14" t="s">
        <v>80</v>
      </c>
      <c r="L13" s="25"/>
      <c r="M13" s="26"/>
      <c r="N13" s="21" t="str">
        <f t="shared" ca="1" si="1"/>
        <v/>
      </c>
    </row>
    <row r="14" spans="1:14" ht="34.049999999999997" customHeight="1">
      <c r="A14" s="1" t="s">
        <v>98</v>
      </c>
      <c r="B14" s="1" t="s">
        <v>24</v>
      </c>
      <c r="C14" s="14" t="s">
        <v>99</v>
      </c>
      <c r="D14" s="14" t="s">
        <v>100</v>
      </c>
      <c r="E14" s="1" t="s">
        <v>96</v>
      </c>
      <c r="F14" s="22" t="s">
        <v>69</v>
      </c>
      <c r="G14" s="23" t="s">
        <v>59</v>
      </c>
      <c r="H14" s="17">
        <f t="shared" si="0"/>
        <v>0</v>
      </c>
      <c r="I14" s="24"/>
      <c r="J14" s="14" t="s">
        <v>92</v>
      </c>
      <c r="K14" s="14" t="s">
        <v>89</v>
      </c>
      <c r="L14" s="25"/>
      <c r="M14" s="26"/>
      <c r="N14" s="21" t="str">
        <f t="shared" ca="1" si="1"/>
        <v/>
      </c>
    </row>
    <row r="15" spans="1:14" ht="34.049999999999997" customHeight="1">
      <c r="A15" s="1" t="s">
        <v>101</v>
      </c>
      <c r="B15" s="1" t="s">
        <v>24</v>
      </c>
      <c r="C15" s="14" t="s">
        <v>102</v>
      </c>
      <c r="D15" s="14" t="s">
        <v>103</v>
      </c>
      <c r="E15" s="1" t="s">
        <v>96</v>
      </c>
      <c r="F15" s="22" t="s">
        <v>58</v>
      </c>
      <c r="G15" s="23" t="s">
        <v>59</v>
      </c>
      <c r="H15" s="17">
        <f t="shared" si="0"/>
        <v>0</v>
      </c>
      <c r="I15" s="24"/>
      <c r="J15" s="14" t="s">
        <v>104</v>
      </c>
      <c r="K15" s="14" t="s">
        <v>80</v>
      </c>
      <c r="L15" s="25"/>
      <c r="M15" s="26"/>
      <c r="N15" s="21" t="str">
        <f t="shared" ca="1" si="1"/>
        <v/>
      </c>
    </row>
    <row r="16" spans="1:14" ht="34.049999999999997" customHeight="1">
      <c r="A16" s="1" t="s">
        <v>105</v>
      </c>
      <c r="B16" s="1" t="s">
        <v>24</v>
      </c>
      <c r="C16" s="14" t="s">
        <v>106</v>
      </c>
      <c r="D16" s="14" t="s">
        <v>107</v>
      </c>
      <c r="E16" s="1" t="s">
        <v>96</v>
      </c>
      <c r="F16" s="22" t="s">
        <v>58</v>
      </c>
      <c r="G16" s="23" t="s">
        <v>59</v>
      </c>
      <c r="H16" s="17">
        <f t="shared" si="0"/>
        <v>0</v>
      </c>
      <c r="I16" s="24"/>
      <c r="J16" s="14" t="s">
        <v>104</v>
      </c>
      <c r="K16" s="14" t="s">
        <v>101</v>
      </c>
      <c r="L16" s="25"/>
      <c r="M16" s="26"/>
      <c r="N16" s="21" t="str">
        <f t="shared" ca="1" si="1"/>
        <v/>
      </c>
    </row>
    <row r="17" spans="1:14" ht="34.049999999999997" customHeight="1">
      <c r="A17" s="1" t="s">
        <v>108</v>
      </c>
      <c r="B17" s="1" t="s">
        <v>24</v>
      </c>
      <c r="C17" s="14" t="s">
        <v>109</v>
      </c>
      <c r="D17" s="14" t="s">
        <v>110</v>
      </c>
      <c r="E17" s="1" t="s">
        <v>96</v>
      </c>
      <c r="F17" s="22" t="s">
        <v>58</v>
      </c>
      <c r="G17" s="23" t="s">
        <v>59</v>
      </c>
      <c r="H17" s="17">
        <f t="shared" si="0"/>
        <v>0</v>
      </c>
      <c r="I17" s="24"/>
      <c r="J17" s="14" t="s">
        <v>104</v>
      </c>
      <c r="K17" s="14" t="s">
        <v>84</v>
      </c>
      <c r="L17" s="25"/>
      <c r="M17" s="26"/>
      <c r="N17" s="21" t="str">
        <f t="shared" ca="1" si="1"/>
        <v/>
      </c>
    </row>
    <row r="18" spans="1:14" ht="34.049999999999997" customHeight="1">
      <c r="A18" s="1" t="s">
        <v>111</v>
      </c>
      <c r="B18" s="1" t="s">
        <v>24</v>
      </c>
      <c r="C18" s="14" t="s">
        <v>112</v>
      </c>
      <c r="D18" s="14" t="s">
        <v>113</v>
      </c>
      <c r="E18" s="1" t="s">
        <v>96</v>
      </c>
      <c r="F18" s="22" t="s">
        <v>58</v>
      </c>
      <c r="G18" s="23" t="s">
        <v>59</v>
      </c>
      <c r="H18" s="17">
        <f t="shared" si="0"/>
        <v>0</v>
      </c>
      <c r="I18" s="24"/>
      <c r="J18" s="14" t="s">
        <v>114</v>
      </c>
      <c r="K18" s="14" t="s">
        <v>108</v>
      </c>
      <c r="L18" s="25"/>
      <c r="M18" s="26"/>
      <c r="N18" s="21" t="str">
        <f t="shared" ca="1" si="1"/>
        <v/>
      </c>
    </row>
    <row r="19" spans="1:14" ht="34.049999999999997" customHeight="1">
      <c r="A19" s="1" t="s">
        <v>115</v>
      </c>
      <c r="B19" s="1" t="s">
        <v>24</v>
      </c>
      <c r="C19" s="14" t="s">
        <v>116</v>
      </c>
      <c r="D19" s="14" t="s">
        <v>117</v>
      </c>
      <c r="E19" s="1" t="s">
        <v>96</v>
      </c>
      <c r="F19" s="22" t="s">
        <v>58</v>
      </c>
      <c r="G19" s="23" t="s">
        <v>59</v>
      </c>
      <c r="H19" s="17">
        <f t="shared" si="0"/>
        <v>0</v>
      </c>
      <c r="I19" s="24"/>
      <c r="J19" s="14" t="s">
        <v>118</v>
      </c>
      <c r="K19" s="14" t="s">
        <v>119</v>
      </c>
      <c r="L19" s="25"/>
      <c r="M19" s="26"/>
      <c r="N19" s="21" t="str">
        <f t="shared" ca="1" si="1"/>
        <v/>
      </c>
    </row>
    <row r="20" spans="1:14" ht="34.049999999999997" customHeight="1">
      <c r="A20" s="1" t="s">
        <v>120</v>
      </c>
      <c r="B20" s="1" t="s">
        <v>26</v>
      </c>
      <c r="C20" s="14" t="s">
        <v>121</v>
      </c>
      <c r="D20" s="14" t="s">
        <v>122</v>
      </c>
      <c r="E20" s="1" t="s">
        <v>96</v>
      </c>
      <c r="F20" s="22" t="s">
        <v>58</v>
      </c>
      <c r="G20" s="23" t="s">
        <v>59</v>
      </c>
      <c r="H20" s="17">
        <f t="shared" si="0"/>
        <v>0</v>
      </c>
      <c r="I20" s="24"/>
      <c r="J20" s="14" t="s">
        <v>123</v>
      </c>
      <c r="K20" s="14" t="s">
        <v>80</v>
      </c>
      <c r="L20" s="25"/>
      <c r="M20" s="26"/>
      <c r="N20" s="21" t="str">
        <f t="shared" ca="1" si="1"/>
        <v/>
      </c>
    </row>
    <row r="21" spans="1:14" ht="34.049999999999997" customHeight="1">
      <c r="A21" s="1" t="s">
        <v>124</v>
      </c>
      <c r="B21" s="1" t="s">
        <v>26</v>
      </c>
      <c r="C21" s="14" t="s">
        <v>125</v>
      </c>
      <c r="D21" s="14" t="s">
        <v>126</v>
      </c>
      <c r="E21" s="1" t="s">
        <v>96</v>
      </c>
      <c r="F21" s="22" t="s">
        <v>69</v>
      </c>
      <c r="G21" s="23" t="s">
        <v>59</v>
      </c>
      <c r="H21" s="17">
        <f t="shared" si="0"/>
        <v>0</v>
      </c>
      <c r="I21" s="24"/>
      <c r="J21" s="14" t="s">
        <v>127</v>
      </c>
      <c r="K21" s="14" t="s">
        <v>120</v>
      </c>
      <c r="L21" s="25"/>
      <c r="M21" s="26"/>
      <c r="N21" s="21" t="str">
        <f t="shared" ca="1" si="1"/>
        <v/>
      </c>
    </row>
    <row r="22" spans="1:14" ht="34.049999999999997" customHeight="1">
      <c r="A22" s="1" t="s">
        <v>128</v>
      </c>
      <c r="B22" s="1" t="s">
        <v>26</v>
      </c>
      <c r="C22" s="14" t="s">
        <v>129</v>
      </c>
      <c r="D22" s="14" t="s">
        <v>130</v>
      </c>
      <c r="E22" s="1" t="s">
        <v>96</v>
      </c>
      <c r="F22" s="22" t="s">
        <v>69</v>
      </c>
      <c r="G22" s="23" t="s">
        <v>59</v>
      </c>
      <c r="H22" s="17">
        <f t="shared" si="0"/>
        <v>0</v>
      </c>
      <c r="I22" s="24"/>
      <c r="J22" s="14" t="s">
        <v>127</v>
      </c>
      <c r="K22" s="14" t="s">
        <v>120</v>
      </c>
      <c r="L22" s="25"/>
      <c r="M22" s="26"/>
      <c r="N22" s="21" t="str">
        <f t="shared" ca="1" si="1"/>
        <v/>
      </c>
    </row>
    <row r="23" spans="1:14" ht="34.049999999999997" customHeight="1">
      <c r="A23" s="1" t="s">
        <v>131</v>
      </c>
      <c r="B23" s="1" t="s">
        <v>26</v>
      </c>
      <c r="C23" s="14" t="s">
        <v>132</v>
      </c>
      <c r="D23" s="14" t="s">
        <v>133</v>
      </c>
      <c r="E23" s="1" t="s">
        <v>96</v>
      </c>
      <c r="F23" s="22" t="s">
        <v>69</v>
      </c>
      <c r="G23" s="23" t="s">
        <v>59</v>
      </c>
      <c r="H23" s="17">
        <f t="shared" si="0"/>
        <v>0</v>
      </c>
      <c r="I23" s="24"/>
      <c r="J23" s="14" t="s">
        <v>127</v>
      </c>
      <c r="K23" s="14" t="s">
        <v>120</v>
      </c>
      <c r="L23" s="25"/>
      <c r="M23" s="26"/>
      <c r="N23" s="21" t="str">
        <f t="shared" ca="1" si="1"/>
        <v/>
      </c>
    </row>
    <row r="24" spans="1:14" ht="34.049999999999997" customHeight="1">
      <c r="A24" s="1" t="s">
        <v>134</v>
      </c>
      <c r="B24" s="1" t="s">
        <v>26</v>
      </c>
      <c r="C24" s="14" t="s">
        <v>135</v>
      </c>
      <c r="D24" s="14" t="s">
        <v>136</v>
      </c>
      <c r="E24" s="1" t="s">
        <v>96</v>
      </c>
      <c r="F24" s="22" t="s">
        <v>69</v>
      </c>
      <c r="G24" s="23" t="s">
        <v>59</v>
      </c>
      <c r="H24" s="17">
        <f t="shared" si="0"/>
        <v>0</v>
      </c>
      <c r="I24" s="24"/>
      <c r="J24" s="14" t="s">
        <v>137</v>
      </c>
      <c r="K24" s="14" t="s">
        <v>101</v>
      </c>
      <c r="L24" s="25"/>
      <c r="M24" s="26"/>
      <c r="N24" s="21" t="str">
        <f t="shared" ca="1" si="1"/>
        <v/>
      </c>
    </row>
    <row r="25" spans="1:14" ht="34.049999999999997" customHeight="1">
      <c r="A25" s="1" t="s">
        <v>138</v>
      </c>
      <c r="B25" s="1" t="s">
        <v>26</v>
      </c>
      <c r="C25" s="14" t="s">
        <v>139</v>
      </c>
      <c r="D25" s="14" t="s">
        <v>140</v>
      </c>
      <c r="E25" s="1" t="s">
        <v>141</v>
      </c>
      <c r="F25" s="22" t="s">
        <v>58</v>
      </c>
      <c r="G25" s="23" t="s">
        <v>59</v>
      </c>
      <c r="H25" s="17">
        <f t="shared" si="0"/>
        <v>0</v>
      </c>
      <c r="I25" s="24"/>
      <c r="J25" s="14" t="s">
        <v>142</v>
      </c>
      <c r="K25" s="14" t="s">
        <v>143</v>
      </c>
      <c r="L25" s="25"/>
      <c r="M25" s="26"/>
      <c r="N25" s="21" t="str">
        <f t="shared" ca="1" si="1"/>
        <v/>
      </c>
    </row>
    <row r="26" spans="1:14" ht="34.049999999999997" customHeight="1">
      <c r="A26" s="1" t="s">
        <v>144</v>
      </c>
      <c r="B26" s="1" t="s">
        <v>26</v>
      </c>
      <c r="C26" s="14" t="s">
        <v>145</v>
      </c>
      <c r="D26" s="14" t="s">
        <v>146</v>
      </c>
      <c r="E26" s="1" t="s">
        <v>141</v>
      </c>
      <c r="F26" s="22" t="s">
        <v>58</v>
      </c>
      <c r="G26" s="23" t="s">
        <v>59</v>
      </c>
      <c r="H26" s="17">
        <f t="shared" si="0"/>
        <v>0</v>
      </c>
      <c r="I26" s="24"/>
      <c r="J26" s="14" t="s">
        <v>147</v>
      </c>
      <c r="K26" s="14" t="s">
        <v>105</v>
      </c>
      <c r="L26" s="25"/>
      <c r="M26" s="26"/>
      <c r="N26" s="21" t="str">
        <f t="shared" ca="1" si="1"/>
        <v/>
      </c>
    </row>
    <row r="27" spans="1:14" ht="34.049999999999997" customHeight="1">
      <c r="A27" s="1" t="s">
        <v>148</v>
      </c>
      <c r="B27" s="1" t="s">
        <v>26</v>
      </c>
      <c r="C27" s="14" t="s">
        <v>149</v>
      </c>
      <c r="D27" s="14" t="s">
        <v>150</v>
      </c>
      <c r="E27" s="1" t="s">
        <v>151</v>
      </c>
      <c r="F27" s="22" t="s">
        <v>58</v>
      </c>
      <c r="G27" s="23" t="s">
        <v>59</v>
      </c>
      <c r="H27" s="17">
        <f t="shared" si="0"/>
        <v>0</v>
      </c>
      <c r="I27" s="24"/>
      <c r="J27" s="14" t="s">
        <v>152</v>
      </c>
      <c r="K27" s="14" t="s">
        <v>153</v>
      </c>
      <c r="L27" s="25"/>
      <c r="M27" s="26"/>
      <c r="N27" s="21" t="str">
        <f t="shared" ca="1" si="1"/>
        <v/>
      </c>
    </row>
    <row r="28" spans="1:14" ht="34.049999999999997" customHeight="1">
      <c r="A28" s="1" t="s">
        <v>154</v>
      </c>
      <c r="B28" s="1" t="s">
        <v>28</v>
      </c>
      <c r="C28" s="14" t="s">
        <v>155</v>
      </c>
      <c r="D28" s="14" t="s">
        <v>156</v>
      </c>
      <c r="E28" s="1" t="s">
        <v>96</v>
      </c>
      <c r="F28" s="22" t="s">
        <v>58</v>
      </c>
      <c r="G28" s="23" t="s">
        <v>59</v>
      </c>
      <c r="H28" s="17">
        <f t="shared" si="0"/>
        <v>0</v>
      </c>
      <c r="I28" s="24"/>
      <c r="J28" s="14" t="s">
        <v>157</v>
      </c>
      <c r="K28" s="14" t="s">
        <v>115</v>
      </c>
      <c r="L28" s="25"/>
      <c r="M28" s="26"/>
      <c r="N28" s="21" t="str">
        <f t="shared" ca="1" si="1"/>
        <v/>
      </c>
    </row>
    <row r="29" spans="1:14" ht="34.049999999999997" customHeight="1">
      <c r="A29" s="1" t="s">
        <v>158</v>
      </c>
      <c r="B29" s="1" t="s">
        <v>28</v>
      </c>
      <c r="C29" s="14" t="s">
        <v>159</v>
      </c>
      <c r="D29" s="14" t="s">
        <v>160</v>
      </c>
      <c r="E29" s="1" t="s">
        <v>96</v>
      </c>
      <c r="F29" s="22" t="s">
        <v>58</v>
      </c>
      <c r="G29" s="23" t="s">
        <v>59</v>
      </c>
      <c r="H29" s="17">
        <f t="shared" si="0"/>
        <v>0</v>
      </c>
      <c r="I29" s="24"/>
      <c r="J29" s="14" t="s">
        <v>161</v>
      </c>
      <c r="K29" s="14" t="s">
        <v>154</v>
      </c>
      <c r="L29" s="25"/>
      <c r="M29" s="26"/>
      <c r="N29" s="21" t="str">
        <f t="shared" ca="1" si="1"/>
        <v/>
      </c>
    </row>
    <row r="30" spans="1:14" ht="34.049999999999997" customHeight="1">
      <c r="A30" s="1" t="s">
        <v>162</v>
      </c>
      <c r="B30" s="1" t="s">
        <v>28</v>
      </c>
      <c r="C30" s="14" t="s">
        <v>163</v>
      </c>
      <c r="D30" s="14" t="s">
        <v>164</v>
      </c>
      <c r="E30" s="1" t="s">
        <v>96</v>
      </c>
      <c r="F30" s="22" t="s">
        <v>58</v>
      </c>
      <c r="G30" s="23" t="s">
        <v>59</v>
      </c>
      <c r="H30" s="17">
        <f t="shared" si="0"/>
        <v>0</v>
      </c>
      <c r="I30" s="24"/>
      <c r="J30" s="14" t="s">
        <v>165</v>
      </c>
      <c r="K30" s="14" t="s">
        <v>154</v>
      </c>
      <c r="L30" s="25"/>
      <c r="M30" s="26"/>
      <c r="N30" s="21" t="str">
        <f t="shared" ca="1" si="1"/>
        <v/>
      </c>
    </row>
    <row r="31" spans="1:14" ht="34.049999999999997" customHeight="1">
      <c r="A31" s="1" t="s">
        <v>166</v>
      </c>
      <c r="B31" s="1" t="s">
        <v>28</v>
      </c>
      <c r="C31" s="14" t="s">
        <v>167</v>
      </c>
      <c r="D31" s="14" t="s">
        <v>168</v>
      </c>
      <c r="E31" s="1" t="s">
        <v>96</v>
      </c>
      <c r="F31" s="22" t="s">
        <v>58</v>
      </c>
      <c r="G31" s="23" t="s">
        <v>59</v>
      </c>
      <c r="H31" s="17">
        <f t="shared" si="0"/>
        <v>0</v>
      </c>
      <c r="I31" s="24"/>
      <c r="J31" s="14" t="s">
        <v>169</v>
      </c>
      <c r="K31" s="14" t="s">
        <v>158</v>
      </c>
      <c r="L31" s="25"/>
      <c r="M31" s="26"/>
      <c r="N31" s="21" t="str">
        <f t="shared" ca="1" si="1"/>
        <v/>
      </c>
    </row>
    <row r="32" spans="1:14" ht="34.049999999999997" customHeight="1">
      <c r="A32" s="1" t="s">
        <v>170</v>
      </c>
      <c r="B32" s="1" t="s">
        <v>28</v>
      </c>
      <c r="C32" s="14" t="s">
        <v>171</v>
      </c>
      <c r="D32" s="14" t="s">
        <v>172</v>
      </c>
      <c r="E32" s="1" t="s">
        <v>96</v>
      </c>
      <c r="F32" s="22" t="s">
        <v>58</v>
      </c>
      <c r="G32" s="23" t="s">
        <v>59</v>
      </c>
      <c r="H32" s="17">
        <f t="shared" si="0"/>
        <v>0</v>
      </c>
      <c r="I32" s="24"/>
      <c r="J32" s="14" t="s">
        <v>173</v>
      </c>
      <c r="K32" s="14" t="s">
        <v>154</v>
      </c>
      <c r="L32" s="25"/>
      <c r="M32" s="26"/>
      <c r="N32" s="21" t="str">
        <f t="shared" ca="1" si="1"/>
        <v/>
      </c>
    </row>
    <row r="33" spans="1:14" ht="34.049999999999997" customHeight="1">
      <c r="A33" s="1" t="s">
        <v>174</v>
      </c>
      <c r="B33" s="1" t="s">
        <v>28</v>
      </c>
      <c r="C33" s="14" t="s">
        <v>175</v>
      </c>
      <c r="D33" s="14" t="s">
        <v>176</v>
      </c>
      <c r="E33" s="1" t="s">
        <v>96</v>
      </c>
      <c r="F33" s="22" t="s">
        <v>58</v>
      </c>
      <c r="G33" s="23" t="s">
        <v>59</v>
      </c>
      <c r="H33" s="17">
        <f t="shared" si="0"/>
        <v>0</v>
      </c>
      <c r="I33" s="24"/>
      <c r="J33" s="14" t="s">
        <v>177</v>
      </c>
      <c r="K33" s="14" t="s">
        <v>170</v>
      </c>
      <c r="L33" s="25"/>
      <c r="M33" s="26"/>
      <c r="N33" s="21" t="str">
        <f t="shared" ca="1" si="1"/>
        <v/>
      </c>
    </row>
    <row r="34" spans="1:14" ht="34.049999999999997" customHeight="1">
      <c r="A34" s="1" t="s">
        <v>178</v>
      </c>
      <c r="B34" s="1" t="s">
        <v>28</v>
      </c>
      <c r="C34" s="14" t="s">
        <v>179</v>
      </c>
      <c r="D34" s="14" t="s">
        <v>180</v>
      </c>
      <c r="E34" s="1" t="s">
        <v>96</v>
      </c>
      <c r="F34" s="22" t="s">
        <v>69</v>
      </c>
      <c r="G34" s="23" t="s">
        <v>59</v>
      </c>
      <c r="H34" s="17">
        <f t="shared" si="0"/>
        <v>0</v>
      </c>
      <c r="I34" s="24"/>
      <c r="J34" s="14" t="s">
        <v>181</v>
      </c>
      <c r="K34" s="14" t="s">
        <v>154</v>
      </c>
      <c r="L34" s="25"/>
      <c r="M34" s="26"/>
      <c r="N34" s="21" t="str">
        <f t="shared" ca="1" si="1"/>
        <v/>
      </c>
    </row>
    <row r="35" spans="1:14" ht="34.049999999999997" customHeight="1">
      <c r="A35" s="1" t="s">
        <v>182</v>
      </c>
      <c r="B35" s="1" t="s">
        <v>28</v>
      </c>
      <c r="C35" s="14" t="s">
        <v>183</v>
      </c>
      <c r="D35" s="14" t="s">
        <v>184</v>
      </c>
      <c r="E35" s="1" t="s">
        <v>96</v>
      </c>
      <c r="F35" s="22" t="s">
        <v>58</v>
      </c>
      <c r="G35" s="23" t="s">
        <v>59</v>
      </c>
      <c r="H35" s="17">
        <f t="shared" si="0"/>
        <v>0</v>
      </c>
      <c r="I35" s="24"/>
      <c r="J35" s="14" t="s">
        <v>185</v>
      </c>
      <c r="K35" s="14" t="s">
        <v>111</v>
      </c>
      <c r="L35" s="25"/>
      <c r="M35" s="26"/>
      <c r="N35" s="21" t="str">
        <f t="shared" ca="1" si="1"/>
        <v/>
      </c>
    </row>
    <row r="36" spans="1:14" ht="34.049999999999997" customHeight="1">
      <c r="A36" s="1" t="s">
        <v>186</v>
      </c>
      <c r="B36" s="1" t="s">
        <v>28</v>
      </c>
      <c r="C36" s="14" t="s">
        <v>187</v>
      </c>
      <c r="D36" s="14" t="s">
        <v>188</v>
      </c>
      <c r="E36" s="1" t="s">
        <v>141</v>
      </c>
      <c r="F36" s="22" t="s">
        <v>58</v>
      </c>
      <c r="G36" s="23" t="s">
        <v>59</v>
      </c>
      <c r="H36" s="17">
        <f t="shared" si="0"/>
        <v>0</v>
      </c>
      <c r="I36" s="24"/>
      <c r="J36" s="14" t="s">
        <v>189</v>
      </c>
      <c r="K36" s="14" t="s">
        <v>190</v>
      </c>
      <c r="L36" s="25"/>
      <c r="M36" s="26"/>
      <c r="N36" s="21" t="str">
        <f t="shared" ca="1" si="1"/>
        <v/>
      </c>
    </row>
    <row r="37" spans="1:14" ht="34.049999999999997" customHeight="1">
      <c r="A37" s="1" t="s">
        <v>191</v>
      </c>
      <c r="B37" s="1" t="s">
        <v>28</v>
      </c>
      <c r="C37" s="14" t="s">
        <v>192</v>
      </c>
      <c r="D37" s="14" t="s">
        <v>193</v>
      </c>
      <c r="E37" s="1" t="s">
        <v>151</v>
      </c>
      <c r="F37" s="22" t="s">
        <v>58</v>
      </c>
      <c r="G37" s="23" t="s">
        <v>59</v>
      </c>
      <c r="H37" s="17">
        <f t="shared" ref="H37:H68" si="2">IF(G37="☑ Hoàn thành",1,IF(G37="◐ Đang làm",0.5,IF(G37="⚠ Bị chặn",0.25,0)))</f>
        <v>0</v>
      </c>
      <c r="I37" s="24"/>
      <c r="J37" s="14" t="s">
        <v>194</v>
      </c>
      <c r="K37" s="14" t="s">
        <v>195</v>
      </c>
      <c r="L37" s="25"/>
      <c r="M37" s="26"/>
      <c r="N37" s="21" t="str">
        <f t="shared" ref="N37:N68" ca="1" si="3">IF(OR(I37="",G37="☑ Hoàn thành",G37="— Không áp dụng"),"",MAX(0,TODAY()-I37))</f>
        <v/>
      </c>
    </row>
    <row r="38" spans="1:14" ht="34.049999999999997" customHeight="1">
      <c r="A38" s="1" t="s">
        <v>196</v>
      </c>
      <c r="B38" s="1" t="s">
        <v>30</v>
      </c>
      <c r="C38" s="14" t="s">
        <v>197</v>
      </c>
      <c r="D38" s="14" t="s">
        <v>198</v>
      </c>
      <c r="E38" s="1" t="s">
        <v>141</v>
      </c>
      <c r="F38" s="22" t="s">
        <v>58</v>
      </c>
      <c r="G38" s="23" t="s">
        <v>59</v>
      </c>
      <c r="H38" s="17">
        <f t="shared" si="2"/>
        <v>0</v>
      </c>
      <c r="I38" s="24"/>
      <c r="J38" s="14" t="s">
        <v>199</v>
      </c>
      <c r="K38" s="14" t="s">
        <v>174</v>
      </c>
      <c r="L38" s="25"/>
      <c r="M38" s="26"/>
      <c r="N38" s="21" t="str">
        <f t="shared" ca="1" si="3"/>
        <v/>
      </c>
    </row>
    <row r="39" spans="1:14" ht="34.049999999999997" customHeight="1">
      <c r="A39" s="1" t="s">
        <v>200</v>
      </c>
      <c r="B39" s="1" t="s">
        <v>30</v>
      </c>
      <c r="C39" s="14" t="s">
        <v>201</v>
      </c>
      <c r="D39" s="14" t="s">
        <v>202</v>
      </c>
      <c r="E39" s="1" t="s">
        <v>141</v>
      </c>
      <c r="F39" s="22" t="s">
        <v>58</v>
      </c>
      <c r="G39" s="23" t="s">
        <v>59</v>
      </c>
      <c r="H39" s="17">
        <f t="shared" si="2"/>
        <v>0</v>
      </c>
      <c r="I39" s="24"/>
      <c r="J39" s="14" t="s">
        <v>203</v>
      </c>
      <c r="K39" s="14" t="s">
        <v>196</v>
      </c>
      <c r="L39" s="25"/>
      <c r="M39" s="26"/>
      <c r="N39" s="21" t="str">
        <f t="shared" ca="1" si="3"/>
        <v/>
      </c>
    </row>
    <row r="40" spans="1:14" ht="34.049999999999997" customHeight="1">
      <c r="A40" s="1" t="s">
        <v>204</v>
      </c>
      <c r="B40" s="1" t="s">
        <v>30</v>
      </c>
      <c r="C40" s="14" t="s">
        <v>205</v>
      </c>
      <c r="D40" s="14" t="s">
        <v>206</v>
      </c>
      <c r="E40" s="1" t="s">
        <v>141</v>
      </c>
      <c r="F40" s="22" t="s">
        <v>58</v>
      </c>
      <c r="G40" s="23" t="s">
        <v>59</v>
      </c>
      <c r="H40" s="17">
        <f t="shared" si="2"/>
        <v>0</v>
      </c>
      <c r="I40" s="24"/>
      <c r="J40" s="14" t="s">
        <v>207</v>
      </c>
      <c r="K40" s="14" t="s">
        <v>196</v>
      </c>
      <c r="L40" s="25"/>
      <c r="M40" s="26"/>
      <c r="N40" s="21" t="str">
        <f t="shared" ca="1" si="3"/>
        <v/>
      </c>
    </row>
    <row r="41" spans="1:14" ht="34.049999999999997" customHeight="1">
      <c r="A41" s="1" t="s">
        <v>208</v>
      </c>
      <c r="B41" s="1" t="s">
        <v>30</v>
      </c>
      <c r="C41" s="14" t="s">
        <v>209</v>
      </c>
      <c r="D41" s="14" t="s">
        <v>210</v>
      </c>
      <c r="E41" s="1" t="s">
        <v>141</v>
      </c>
      <c r="F41" s="22" t="s">
        <v>58</v>
      </c>
      <c r="G41" s="23" t="s">
        <v>59</v>
      </c>
      <c r="H41" s="17">
        <f t="shared" si="2"/>
        <v>0</v>
      </c>
      <c r="I41" s="24"/>
      <c r="J41" s="14" t="s">
        <v>211</v>
      </c>
      <c r="K41" s="14" t="s">
        <v>174</v>
      </c>
      <c r="L41" s="25"/>
      <c r="M41" s="26"/>
      <c r="N41" s="21" t="str">
        <f t="shared" ca="1" si="3"/>
        <v/>
      </c>
    </row>
    <row r="42" spans="1:14" ht="34.049999999999997" customHeight="1">
      <c r="A42" s="1" t="s">
        <v>212</v>
      </c>
      <c r="B42" s="1" t="s">
        <v>30</v>
      </c>
      <c r="C42" s="14" t="s">
        <v>213</v>
      </c>
      <c r="D42" s="14" t="s">
        <v>214</v>
      </c>
      <c r="E42" s="1" t="s">
        <v>141</v>
      </c>
      <c r="F42" s="22" t="s">
        <v>58</v>
      </c>
      <c r="G42" s="23" t="s">
        <v>59</v>
      </c>
      <c r="H42" s="17">
        <f t="shared" si="2"/>
        <v>0</v>
      </c>
      <c r="I42" s="24"/>
      <c r="J42" s="14" t="s">
        <v>215</v>
      </c>
      <c r="K42" s="14" t="s">
        <v>170</v>
      </c>
      <c r="L42" s="25"/>
      <c r="M42" s="26"/>
      <c r="N42" s="21" t="str">
        <f t="shared" ca="1" si="3"/>
        <v/>
      </c>
    </row>
    <row r="43" spans="1:14" ht="34.049999999999997" customHeight="1">
      <c r="A43" s="1" t="s">
        <v>216</v>
      </c>
      <c r="B43" s="1" t="s">
        <v>30</v>
      </c>
      <c r="C43" s="14" t="s">
        <v>217</v>
      </c>
      <c r="D43" s="14" t="s">
        <v>218</v>
      </c>
      <c r="E43" s="1" t="s">
        <v>151</v>
      </c>
      <c r="F43" s="22" t="s">
        <v>58</v>
      </c>
      <c r="G43" s="23" t="s">
        <v>59</v>
      </c>
      <c r="H43" s="17">
        <f t="shared" si="2"/>
        <v>0</v>
      </c>
      <c r="I43" s="24"/>
      <c r="J43" s="14" t="s">
        <v>219</v>
      </c>
      <c r="K43" s="14" t="s">
        <v>212</v>
      </c>
      <c r="L43" s="25"/>
      <c r="M43" s="26"/>
      <c r="N43" s="21" t="str">
        <f t="shared" ca="1" si="3"/>
        <v/>
      </c>
    </row>
    <row r="44" spans="1:14" ht="34.049999999999997" customHeight="1">
      <c r="A44" s="1" t="s">
        <v>220</v>
      </c>
      <c r="B44" s="1" t="s">
        <v>30</v>
      </c>
      <c r="C44" s="14" t="s">
        <v>221</v>
      </c>
      <c r="D44" s="14" t="s">
        <v>222</v>
      </c>
      <c r="E44" s="1" t="s">
        <v>151</v>
      </c>
      <c r="F44" s="22" t="s">
        <v>69</v>
      </c>
      <c r="G44" s="23" t="s">
        <v>59</v>
      </c>
      <c r="H44" s="17">
        <f t="shared" si="2"/>
        <v>0</v>
      </c>
      <c r="I44" s="24"/>
      <c r="J44" s="14" t="s">
        <v>223</v>
      </c>
      <c r="K44" s="14" t="s">
        <v>212</v>
      </c>
      <c r="L44" s="25"/>
      <c r="M44" s="26"/>
      <c r="N44" s="21" t="str">
        <f t="shared" ca="1" si="3"/>
        <v/>
      </c>
    </row>
    <row r="45" spans="1:14" ht="34.049999999999997" customHeight="1">
      <c r="A45" s="1" t="s">
        <v>224</v>
      </c>
      <c r="B45" s="1" t="s">
        <v>30</v>
      </c>
      <c r="C45" s="14" t="s">
        <v>225</v>
      </c>
      <c r="D45" s="14" t="s">
        <v>226</v>
      </c>
      <c r="E45" s="1" t="s">
        <v>151</v>
      </c>
      <c r="F45" s="22" t="s">
        <v>58</v>
      </c>
      <c r="G45" s="23" t="s">
        <v>59</v>
      </c>
      <c r="H45" s="17">
        <f t="shared" si="2"/>
        <v>0</v>
      </c>
      <c r="I45" s="24"/>
      <c r="J45" s="14" t="s">
        <v>227</v>
      </c>
      <c r="K45" s="14" t="s">
        <v>228</v>
      </c>
      <c r="L45" s="25"/>
      <c r="M45" s="26"/>
      <c r="N45" s="21" t="str">
        <f t="shared" ca="1" si="3"/>
        <v/>
      </c>
    </row>
    <row r="46" spans="1:14" ht="34.049999999999997" customHeight="1">
      <c r="A46" s="1" t="s">
        <v>229</v>
      </c>
      <c r="B46" s="1" t="s">
        <v>32</v>
      </c>
      <c r="C46" s="14" t="s">
        <v>230</v>
      </c>
      <c r="D46" s="14" t="s">
        <v>231</v>
      </c>
      <c r="E46" s="1" t="s">
        <v>151</v>
      </c>
      <c r="F46" s="22" t="s">
        <v>58</v>
      </c>
      <c r="G46" s="23" t="s">
        <v>59</v>
      </c>
      <c r="H46" s="17">
        <f t="shared" si="2"/>
        <v>0</v>
      </c>
      <c r="I46" s="24"/>
      <c r="J46" s="14" t="s">
        <v>232</v>
      </c>
      <c r="K46" s="14" t="s">
        <v>212</v>
      </c>
      <c r="L46" s="25"/>
      <c r="M46" s="26"/>
      <c r="N46" s="21" t="str">
        <f t="shared" ca="1" si="3"/>
        <v/>
      </c>
    </row>
    <row r="47" spans="1:14" ht="34.049999999999997" customHeight="1">
      <c r="A47" s="1" t="s">
        <v>233</v>
      </c>
      <c r="B47" s="1" t="s">
        <v>32</v>
      </c>
      <c r="C47" s="14" t="s">
        <v>234</v>
      </c>
      <c r="D47" s="14" t="s">
        <v>235</v>
      </c>
      <c r="E47" s="1" t="s">
        <v>151</v>
      </c>
      <c r="F47" s="22" t="s">
        <v>58</v>
      </c>
      <c r="G47" s="23" t="s">
        <v>59</v>
      </c>
      <c r="H47" s="17">
        <f t="shared" si="2"/>
        <v>0</v>
      </c>
      <c r="I47" s="24"/>
      <c r="J47" s="14" t="s">
        <v>236</v>
      </c>
      <c r="K47" s="14" t="s">
        <v>162</v>
      </c>
      <c r="L47" s="25"/>
      <c r="M47" s="26"/>
      <c r="N47" s="21" t="str">
        <f t="shared" ca="1" si="3"/>
        <v/>
      </c>
    </row>
    <row r="48" spans="1:14" ht="34.049999999999997" customHeight="1">
      <c r="A48" s="1" t="s">
        <v>237</v>
      </c>
      <c r="B48" s="1" t="s">
        <v>32</v>
      </c>
      <c r="C48" s="14" t="s">
        <v>238</v>
      </c>
      <c r="D48" s="14" t="s">
        <v>239</v>
      </c>
      <c r="E48" s="1" t="s">
        <v>151</v>
      </c>
      <c r="F48" s="22" t="s">
        <v>58</v>
      </c>
      <c r="G48" s="23" t="s">
        <v>59</v>
      </c>
      <c r="H48" s="17">
        <f t="shared" si="2"/>
        <v>0</v>
      </c>
      <c r="I48" s="24"/>
      <c r="J48" s="14" t="s">
        <v>240</v>
      </c>
      <c r="K48" s="14" t="s">
        <v>220</v>
      </c>
      <c r="L48" s="25"/>
      <c r="M48" s="26"/>
      <c r="N48" s="21" t="str">
        <f t="shared" ca="1" si="3"/>
        <v/>
      </c>
    </row>
    <row r="49" spans="1:14" ht="34.049999999999997" customHeight="1">
      <c r="A49" s="1" t="s">
        <v>241</v>
      </c>
      <c r="B49" s="1" t="s">
        <v>32</v>
      </c>
      <c r="C49" s="14" t="s">
        <v>242</v>
      </c>
      <c r="D49" s="14" t="s">
        <v>243</v>
      </c>
      <c r="E49" s="1" t="s">
        <v>151</v>
      </c>
      <c r="F49" s="22" t="s">
        <v>58</v>
      </c>
      <c r="G49" s="23" t="s">
        <v>59</v>
      </c>
      <c r="H49" s="17">
        <f t="shared" si="2"/>
        <v>0</v>
      </c>
      <c r="I49" s="24"/>
      <c r="J49" s="14" t="s">
        <v>244</v>
      </c>
      <c r="K49" s="14" t="s">
        <v>245</v>
      </c>
      <c r="L49" s="25"/>
      <c r="M49" s="26"/>
      <c r="N49" s="21" t="str">
        <f t="shared" ca="1" si="3"/>
        <v/>
      </c>
    </row>
    <row r="50" spans="1:14" ht="34.049999999999997" customHeight="1">
      <c r="A50" s="1" t="s">
        <v>246</v>
      </c>
      <c r="B50" s="1" t="s">
        <v>32</v>
      </c>
      <c r="C50" s="14" t="s">
        <v>247</v>
      </c>
      <c r="D50" s="14" t="s">
        <v>248</v>
      </c>
      <c r="E50" s="1" t="s">
        <v>151</v>
      </c>
      <c r="F50" s="22" t="s">
        <v>69</v>
      </c>
      <c r="G50" s="23" t="s">
        <v>59</v>
      </c>
      <c r="H50" s="17">
        <f t="shared" si="2"/>
        <v>0</v>
      </c>
      <c r="I50" s="24"/>
      <c r="J50" s="14" t="s">
        <v>249</v>
      </c>
      <c r="K50" s="14" t="s">
        <v>229</v>
      </c>
      <c r="L50" s="25"/>
      <c r="M50" s="26"/>
      <c r="N50" s="21" t="str">
        <f t="shared" ca="1" si="3"/>
        <v/>
      </c>
    </row>
    <row r="51" spans="1:14" ht="34.049999999999997" customHeight="1">
      <c r="A51" s="1" t="s">
        <v>250</v>
      </c>
      <c r="B51" s="1" t="s">
        <v>32</v>
      </c>
      <c r="C51" s="14" t="s">
        <v>251</v>
      </c>
      <c r="D51" s="14" t="s">
        <v>252</v>
      </c>
      <c r="E51" s="1" t="s">
        <v>151</v>
      </c>
      <c r="F51" s="22" t="s">
        <v>58</v>
      </c>
      <c r="G51" s="23" t="s">
        <v>59</v>
      </c>
      <c r="H51" s="17">
        <f t="shared" si="2"/>
        <v>0</v>
      </c>
      <c r="I51" s="24"/>
      <c r="J51" s="14" t="s">
        <v>253</v>
      </c>
      <c r="K51" s="14" t="s">
        <v>182</v>
      </c>
      <c r="L51" s="25"/>
      <c r="M51" s="26"/>
      <c r="N51" s="21" t="str">
        <f t="shared" ca="1" si="3"/>
        <v/>
      </c>
    </row>
    <row r="52" spans="1:14" ht="34.049999999999997" customHeight="1">
      <c r="A52" s="1" t="s">
        <v>254</v>
      </c>
      <c r="B52" s="1" t="s">
        <v>32</v>
      </c>
      <c r="C52" s="14" t="s">
        <v>255</v>
      </c>
      <c r="D52" s="14" t="s">
        <v>256</v>
      </c>
      <c r="E52" s="1" t="s">
        <v>151</v>
      </c>
      <c r="F52" s="22" t="s">
        <v>58</v>
      </c>
      <c r="G52" s="23" t="s">
        <v>59</v>
      </c>
      <c r="H52" s="17">
        <f t="shared" si="2"/>
        <v>0</v>
      </c>
      <c r="I52" s="24"/>
      <c r="J52" s="14" t="s">
        <v>257</v>
      </c>
      <c r="K52" s="14" t="s">
        <v>250</v>
      </c>
      <c r="L52" s="25"/>
      <c r="M52" s="26"/>
      <c r="N52" s="21" t="str">
        <f t="shared" ca="1" si="3"/>
        <v/>
      </c>
    </row>
    <row r="53" spans="1:14" ht="34.049999999999997" customHeight="1">
      <c r="A53" s="1" t="s">
        <v>258</v>
      </c>
      <c r="B53" s="1" t="s">
        <v>32</v>
      </c>
      <c r="C53" s="14" t="s">
        <v>259</v>
      </c>
      <c r="D53" s="14" t="s">
        <v>260</v>
      </c>
      <c r="E53" s="1" t="s">
        <v>151</v>
      </c>
      <c r="F53" s="22" t="s">
        <v>58</v>
      </c>
      <c r="G53" s="23" t="s">
        <v>59</v>
      </c>
      <c r="H53" s="17">
        <f t="shared" si="2"/>
        <v>0</v>
      </c>
      <c r="I53" s="24"/>
      <c r="J53" s="14" t="s">
        <v>261</v>
      </c>
      <c r="K53" s="14" t="s">
        <v>262</v>
      </c>
      <c r="L53" s="25"/>
      <c r="M53" s="26"/>
      <c r="N53" s="21" t="str">
        <f t="shared" ca="1" si="3"/>
        <v/>
      </c>
    </row>
    <row r="54" spans="1:14" ht="34.049999999999997" customHeight="1">
      <c r="A54" s="1" t="s">
        <v>263</v>
      </c>
      <c r="B54" s="1" t="s">
        <v>32</v>
      </c>
      <c r="C54" s="14" t="s">
        <v>264</v>
      </c>
      <c r="D54" s="14" t="s">
        <v>265</v>
      </c>
      <c r="E54" s="1" t="s">
        <v>151</v>
      </c>
      <c r="F54" s="22" t="s">
        <v>58</v>
      </c>
      <c r="G54" s="23" t="s">
        <v>59</v>
      </c>
      <c r="H54" s="17">
        <f t="shared" si="2"/>
        <v>0</v>
      </c>
      <c r="I54" s="24"/>
      <c r="J54" s="14" t="s">
        <v>266</v>
      </c>
      <c r="K54" s="14" t="s">
        <v>258</v>
      </c>
      <c r="L54" s="25"/>
      <c r="M54" s="26"/>
      <c r="N54" s="21" t="str">
        <f t="shared" ca="1" si="3"/>
        <v/>
      </c>
    </row>
    <row r="55" spans="1:14" ht="34.049999999999997" customHeight="1">
      <c r="A55" s="1" t="s">
        <v>267</v>
      </c>
      <c r="B55" s="1" t="s">
        <v>32</v>
      </c>
      <c r="C55" s="14" t="s">
        <v>268</v>
      </c>
      <c r="D55" s="14" t="s">
        <v>269</v>
      </c>
      <c r="E55" s="1" t="s">
        <v>151</v>
      </c>
      <c r="F55" s="22" t="s">
        <v>69</v>
      </c>
      <c r="G55" s="23" t="s">
        <v>59</v>
      </c>
      <c r="H55" s="17">
        <f t="shared" si="2"/>
        <v>0</v>
      </c>
      <c r="I55" s="24"/>
      <c r="J55" s="14" t="s">
        <v>270</v>
      </c>
      <c r="K55" s="14" t="s">
        <v>271</v>
      </c>
      <c r="L55" s="25"/>
      <c r="M55" s="26"/>
      <c r="N55" s="21" t="str">
        <f t="shared" ca="1" si="3"/>
        <v/>
      </c>
    </row>
    <row r="56" spans="1:14" ht="34.049999999999997" customHeight="1">
      <c r="A56" s="1" t="s">
        <v>272</v>
      </c>
      <c r="B56" s="1" t="s">
        <v>32</v>
      </c>
      <c r="C56" s="14" t="s">
        <v>273</v>
      </c>
      <c r="D56" s="14" t="s">
        <v>274</v>
      </c>
      <c r="E56" s="1" t="s">
        <v>151</v>
      </c>
      <c r="F56" s="22" t="s">
        <v>69</v>
      </c>
      <c r="G56" s="23" t="s">
        <v>59</v>
      </c>
      <c r="H56" s="17">
        <f t="shared" si="2"/>
        <v>0</v>
      </c>
      <c r="I56" s="24"/>
      <c r="J56" s="14" t="s">
        <v>275</v>
      </c>
      <c r="K56" s="14" t="s">
        <v>186</v>
      </c>
      <c r="L56" s="25"/>
      <c r="M56" s="26"/>
      <c r="N56" s="21" t="str">
        <f t="shared" ca="1" si="3"/>
        <v/>
      </c>
    </row>
    <row r="57" spans="1:14" ht="34.049999999999997" customHeight="1">
      <c r="A57" s="1" t="s">
        <v>276</v>
      </c>
      <c r="B57" s="1" t="s">
        <v>32</v>
      </c>
      <c r="C57" s="14" t="s">
        <v>277</v>
      </c>
      <c r="D57" s="14" t="s">
        <v>278</v>
      </c>
      <c r="E57" s="1" t="s">
        <v>151</v>
      </c>
      <c r="F57" s="22" t="s">
        <v>58</v>
      </c>
      <c r="G57" s="23" t="s">
        <v>59</v>
      </c>
      <c r="H57" s="17">
        <f t="shared" si="2"/>
        <v>0</v>
      </c>
      <c r="I57" s="24"/>
      <c r="J57" s="14" t="s">
        <v>279</v>
      </c>
      <c r="K57" s="14" t="s">
        <v>280</v>
      </c>
      <c r="L57" s="25"/>
      <c r="M57" s="26"/>
      <c r="N57" s="21" t="str">
        <f t="shared" ca="1" si="3"/>
        <v/>
      </c>
    </row>
    <row r="58" spans="1:14" ht="34.049999999999997" customHeight="1">
      <c r="A58" s="1" t="s">
        <v>281</v>
      </c>
      <c r="B58" s="1" t="s">
        <v>33</v>
      </c>
      <c r="C58" s="14" t="s">
        <v>282</v>
      </c>
      <c r="D58" s="14" t="s">
        <v>283</v>
      </c>
      <c r="E58" s="1" t="s">
        <v>151</v>
      </c>
      <c r="F58" s="22" t="s">
        <v>58</v>
      </c>
      <c r="G58" s="23" t="s">
        <v>59</v>
      </c>
      <c r="H58" s="17">
        <f t="shared" si="2"/>
        <v>0</v>
      </c>
      <c r="I58" s="24"/>
      <c r="J58" s="14" t="s">
        <v>284</v>
      </c>
      <c r="K58" s="14" t="s">
        <v>276</v>
      </c>
      <c r="L58" s="25"/>
      <c r="M58" s="26"/>
      <c r="N58" s="21" t="str">
        <f t="shared" ca="1" si="3"/>
        <v/>
      </c>
    </row>
    <row r="59" spans="1:14" ht="34.049999999999997" customHeight="1">
      <c r="A59" s="1" t="s">
        <v>285</v>
      </c>
      <c r="B59" s="1" t="s">
        <v>33</v>
      </c>
      <c r="C59" s="14" t="s">
        <v>286</v>
      </c>
      <c r="D59" s="14" t="s">
        <v>287</v>
      </c>
      <c r="E59" s="1" t="s">
        <v>151</v>
      </c>
      <c r="F59" s="22" t="s">
        <v>58</v>
      </c>
      <c r="G59" s="23" t="s">
        <v>59</v>
      </c>
      <c r="H59" s="17">
        <f t="shared" si="2"/>
        <v>0</v>
      </c>
      <c r="I59" s="24"/>
      <c r="J59" s="14" t="s">
        <v>288</v>
      </c>
      <c r="K59" s="14" t="s">
        <v>182</v>
      </c>
      <c r="L59" s="25"/>
      <c r="M59" s="26"/>
      <c r="N59" s="21" t="str">
        <f t="shared" ca="1" si="3"/>
        <v/>
      </c>
    </row>
    <row r="60" spans="1:14" ht="34.049999999999997" customHeight="1">
      <c r="A60" s="1" t="s">
        <v>289</v>
      </c>
      <c r="B60" s="1" t="s">
        <v>33</v>
      </c>
      <c r="C60" s="14" t="s">
        <v>290</v>
      </c>
      <c r="D60" s="14" t="s">
        <v>291</v>
      </c>
      <c r="E60" s="1" t="s">
        <v>151</v>
      </c>
      <c r="F60" s="22" t="s">
        <v>69</v>
      </c>
      <c r="G60" s="23" t="s">
        <v>59</v>
      </c>
      <c r="H60" s="17">
        <f t="shared" si="2"/>
        <v>0</v>
      </c>
      <c r="I60" s="24"/>
      <c r="J60" s="14" t="s">
        <v>292</v>
      </c>
      <c r="K60" s="14" t="s">
        <v>281</v>
      </c>
      <c r="L60" s="25"/>
      <c r="M60" s="26"/>
      <c r="N60" s="21" t="str">
        <f t="shared" ca="1" si="3"/>
        <v/>
      </c>
    </row>
    <row r="61" spans="1:14" ht="34.049999999999997" customHeight="1">
      <c r="A61" s="1" t="s">
        <v>293</v>
      </c>
      <c r="B61" s="1" t="s">
        <v>33</v>
      </c>
      <c r="C61" s="14" t="s">
        <v>294</v>
      </c>
      <c r="D61" s="14" t="s">
        <v>295</v>
      </c>
      <c r="E61" s="1" t="s">
        <v>151</v>
      </c>
      <c r="F61" s="22" t="s">
        <v>58</v>
      </c>
      <c r="G61" s="23" t="s">
        <v>59</v>
      </c>
      <c r="H61" s="17">
        <f t="shared" si="2"/>
        <v>0</v>
      </c>
      <c r="I61" s="24"/>
      <c r="J61" s="14" t="s">
        <v>296</v>
      </c>
      <c r="K61" s="14" t="s">
        <v>285</v>
      </c>
      <c r="L61" s="25"/>
      <c r="M61" s="26"/>
      <c r="N61" s="21" t="str">
        <f t="shared" ca="1" si="3"/>
        <v/>
      </c>
    </row>
    <row r="62" spans="1:14" ht="34.049999999999997" customHeight="1">
      <c r="A62" s="1" t="s">
        <v>297</v>
      </c>
      <c r="B62" s="1" t="s">
        <v>33</v>
      </c>
      <c r="C62" s="14" t="s">
        <v>298</v>
      </c>
      <c r="D62" s="14" t="s">
        <v>299</v>
      </c>
      <c r="E62" s="1" t="s">
        <v>151</v>
      </c>
      <c r="F62" s="22" t="s">
        <v>58</v>
      </c>
      <c r="G62" s="23" t="s">
        <v>59</v>
      </c>
      <c r="H62" s="17">
        <f t="shared" si="2"/>
        <v>0</v>
      </c>
      <c r="I62" s="24"/>
      <c r="J62" s="14" t="s">
        <v>300</v>
      </c>
      <c r="K62" s="14" t="s">
        <v>289</v>
      </c>
      <c r="L62" s="25"/>
      <c r="M62" s="26"/>
      <c r="N62" s="21" t="str">
        <f t="shared" ca="1" si="3"/>
        <v/>
      </c>
    </row>
    <row r="63" spans="1:14" ht="34.049999999999997" customHeight="1">
      <c r="A63" s="1" t="s">
        <v>301</v>
      </c>
      <c r="B63" s="1" t="s">
        <v>33</v>
      </c>
      <c r="C63" s="14" t="s">
        <v>302</v>
      </c>
      <c r="D63" s="14" t="s">
        <v>303</v>
      </c>
      <c r="E63" s="1" t="s">
        <v>151</v>
      </c>
      <c r="F63" s="22" t="s">
        <v>58</v>
      </c>
      <c r="G63" s="23" t="s">
        <v>59</v>
      </c>
      <c r="H63" s="17">
        <f t="shared" si="2"/>
        <v>0</v>
      </c>
      <c r="I63" s="24"/>
      <c r="J63" s="14" t="s">
        <v>304</v>
      </c>
      <c r="K63" s="14" t="s">
        <v>289</v>
      </c>
      <c r="L63" s="25"/>
      <c r="M63" s="26"/>
      <c r="N63" s="21" t="str">
        <f t="shared" ca="1" si="3"/>
        <v/>
      </c>
    </row>
    <row r="64" spans="1:14" ht="34.049999999999997" customHeight="1">
      <c r="A64" s="1" t="s">
        <v>305</v>
      </c>
      <c r="B64" s="1" t="s">
        <v>33</v>
      </c>
      <c r="C64" s="14" t="s">
        <v>306</v>
      </c>
      <c r="D64" s="14" t="s">
        <v>307</v>
      </c>
      <c r="E64" s="1" t="s">
        <v>151</v>
      </c>
      <c r="F64" s="22" t="s">
        <v>58</v>
      </c>
      <c r="G64" s="23" t="s">
        <v>59</v>
      </c>
      <c r="H64" s="17">
        <f t="shared" si="2"/>
        <v>0</v>
      </c>
      <c r="I64" s="24"/>
      <c r="J64" s="14" t="s">
        <v>308</v>
      </c>
      <c r="K64" s="14" t="s">
        <v>309</v>
      </c>
      <c r="L64" s="25"/>
      <c r="M64" s="26"/>
      <c r="N64" s="21" t="str">
        <f t="shared" ca="1" si="3"/>
        <v/>
      </c>
    </row>
    <row r="65" spans="1:14" ht="34.049999999999997" customHeight="1">
      <c r="A65" s="1" t="s">
        <v>310</v>
      </c>
      <c r="B65" s="1" t="s">
        <v>33</v>
      </c>
      <c r="C65" s="14" t="s">
        <v>311</v>
      </c>
      <c r="D65" s="14" t="s">
        <v>312</v>
      </c>
      <c r="E65" s="1" t="s">
        <v>151</v>
      </c>
      <c r="F65" s="22" t="s">
        <v>58</v>
      </c>
      <c r="G65" s="23" t="s">
        <v>59</v>
      </c>
      <c r="H65" s="17">
        <f t="shared" si="2"/>
        <v>0</v>
      </c>
      <c r="I65" s="24"/>
      <c r="J65" s="14" t="s">
        <v>313</v>
      </c>
      <c r="K65" s="14" t="s">
        <v>305</v>
      </c>
      <c r="L65" s="25"/>
      <c r="M65" s="26"/>
      <c r="N65" s="21" t="str">
        <f t="shared" ca="1" si="3"/>
        <v/>
      </c>
    </row>
    <row r="66" spans="1:14" ht="34.049999999999997" customHeight="1">
      <c r="A66" s="1" t="s">
        <v>314</v>
      </c>
      <c r="B66" s="1" t="s">
        <v>33</v>
      </c>
      <c r="C66" s="14" t="s">
        <v>315</v>
      </c>
      <c r="D66" s="14" t="s">
        <v>316</v>
      </c>
      <c r="E66" s="1" t="s">
        <v>151</v>
      </c>
      <c r="F66" s="22" t="s">
        <v>58</v>
      </c>
      <c r="G66" s="23" t="s">
        <v>59</v>
      </c>
      <c r="H66" s="17">
        <f t="shared" si="2"/>
        <v>0</v>
      </c>
      <c r="I66" s="24"/>
      <c r="J66" s="14" t="s">
        <v>317</v>
      </c>
      <c r="K66" s="14" t="s">
        <v>297</v>
      </c>
      <c r="L66" s="25"/>
      <c r="M66" s="26"/>
      <c r="N66" s="21" t="str">
        <f t="shared" ca="1" si="3"/>
        <v/>
      </c>
    </row>
    <row r="67" spans="1:14" ht="34.049999999999997" customHeight="1">
      <c r="A67" s="1" t="s">
        <v>318</v>
      </c>
      <c r="B67" s="1" t="s">
        <v>33</v>
      </c>
      <c r="C67" s="14" t="s">
        <v>319</v>
      </c>
      <c r="D67" s="14" t="s">
        <v>320</v>
      </c>
      <c r="E67" s="1" t="s">
        <v>151</v>
      </c>
      <c r="F67" s="22" t="s">
        <v>58</v>
      </c>
      <c r="G67" s="23" t="s">
        <v>59</v>
      </c>
      <c r="H67" s="17">
        <f t="shared" si="2"/>
        <v>0</v>
      </c>
      <c r="I67" s="24"/>
      <c r="J67" s="14" t="s">
        <v>321</v>
      </c>
      <c r="K67" s="14" t="s">
        <v>310</v>
      </c>
      <c r="L67" s="25"/>
      <c r="M67" s="26"/>
      <c r="N67" s="21" t="str">
        <f t="shared" ca="1" si="3"/>
        <v/>
      </c>
    </row>
    <row r="68" spans="1:14" ht="34.049999999999997" customHeight="1">
      <c r="A68" s="1" t="s">
        <v>322</v>
      </c>
      <c r="B68" s="1" t="s">
        <v>33</v>
      </c>
      <c r="C68" s="14" t="s">
        <v>323</v>
      </c>
      <c r="D68" s="14" t="s">
        <v>324</v>
      </c>
      <c r="E68" s="1" t="s">
        <v>151</v>
      </c>
      <c r="F68" s="22" t="s">
        <v>58</v>
      </c>
      <c r="G68" s="23" t="s">
        <v>59</v>
      </c>
      <c r="H68" s="17">
        <f t="shared" si="2"/>
        <v>0</v>
      </c>
      <c r="I68" s="24"/>
      <c r="J68" s="14" t="s">
        <v>325</v>
      </c>
      <c r="K68" s="14" t="s">
        <v>326</v>
      </c>
      <c r="L68" s="25"/>
      <c r="M68" s="26"/>
      <c r="N68" s="21" t="str">
        <f t="shared" ca="1" si="3"/>
        <v/>
      </c>
    </row>
    <row r="69" spans="1:14" ht="34.049999999999997" customHeight="1">
      <c r="A69" s="1" t="s">
        <v>327</v>
      </c>
      <c r="B69" s="1" t="s">
        <v>33</v>
      </c>
      <c r="C69" s="14" t="s">
        <v>328</v>
      </c>
      <c r="D69" s="14" t="s">
        <v>329</v>
      </c>
      <c r="E69" s="1" t="s">
        <v>151</v>
      </c>
      <c r="F69" s="22" t="s">
        <v>58</v>
      </c>
      <c r="G69" s="23" t="s">
        <v>59</v>
      </c>
      <c r="H69" s="17">
        <f t="shared" ref="H69:H100" si="4">IF(G69="☑ Hoàn thành",1,IF(G69="◐ Đang làm",0.5,IF(G69="⚠ Bị chặn",0.25,0)))</f>
        <v>0</v>
      </c>
      <c r="I69" s="24"/>
      <c r="J69" s="14" t="s">
        <v>330</v>
      </c>
      <c r="K69" s="14" t="s">
        <v>224</v>
      </c>
      <c r="L69" s="25"/>
      <c r="M69" s="26"/>
      <c r="N69" s="21" t="str">
        <f t="shared" ref="N69:N100" ca="1" si="5">IF(OR(I69="",G69="☑ Hoàn thành",G69="— Không áp dụng"),"",MAX(0,TODAY()-I69))</f>
        <v/>
      </c>
    </row>
    <row r="70" spans="1:14" ht="34.049999999999997" customHeight="1">
      <c r="A70" s="1" t="s">
        <v>331</v>
      </c>
      <c r="B70" s="1" t="s">
        <v>33</v>
      </c>
      <c r="C70" s="14" t="s">
        <v>332</v>
      </c>
      <c r="D70" s="14" t="s">
        <v>333</v>
      </c>
      <c r="E70" s="1" t="s">
        <v>151</v>
      </c>
      <c r="F70" s="22" t="s">
        <v>58</v>
      </c>
      <c r="G70" s="23" t="s">
        <v>59</v>
      </c>
      <c r="H70" s="17">
        <f t="shared" si="4"/>
        <v>0</v>
      </c>
      <c r="I70" s="24"/>
      <c r="J70" s="14" t="s">
        <v>334</v>
      </c>
      <c r="K70" s="14" t="s">
        <v>335</v>
      </c>
      <c r="L70" s="25"/>
      <c r="M70" s="26"/>
      <c r="N70" s="21" t="str">
        <f t="shared" ca="1" si="5"/>
        <v/>
      </c>
    </row>
    <row r="71" spans="1:14" ht="34.049999999999997" customHeight="1">
      <c r="A71" s="1" t="s">
        <v>336</v>
      </c>
      <c r="B71" s="1" t="s">
        <v>33</v>
      </c>
      <c r="C71" s="14" t="s">
        <v>337</v>
      </c>
      <c r="D71" s="14" t="s">
        <v>338</v>
      </c>
      <c r="E71" s="1" t="s">
        <v>151</v>
      </c>
      <c r="F71" s="22" t="s">
        <v>58</v>
      </c>
      <c r="G71" s="23" t="s">
        <v>59</v>
      </c>
      <c r="H71" s="17">
        <f t="shared" si="4"/>
        <v>0</v>
      </c>
      <c r="I71" s="24"/>
      <c r="J71" s="14" t="s">
        <v>339</v>
      </c>
      <c r="K71" s="14" t="s">
        <v>331</v>
      </c>
      <c r="L71" s="25"/>
      <c r="M71" s="26"/>
      <c r="N71" s="21" t="str">
        <f t="shared" ca="1" si="5"/>
        <v/>
      </c>
    </row>
    <row r="72" spans="1:14" ht="34.049999999999997" customHeight="1">
      <c r="A72" s="1" t="s">
        <v>340</v>
      </c>
      <c r="B72" s="1" t="s">
        <v>34</v>
      </c>
      <c r="C72" s="14" t="s">
        <v>341</v>
      </c>
      <c r="D72" s="14" t="s">
        <v>342</v>
      </c>
      <c r="E72" s="1" t="s">
        <v>151</v>
      </c>
      <c r="F72" s="22" t="s">
        <v>58</v>
      </c>
      <c r="G72" s="23" t="s">
        <v>59</v>
      </c>
      <c r="H72" s="17">
        <f t="shared" si="4"/>
        <v>0</v>
      </c>
      <c r="I72" s="24"/>
      <c r="J72" s="14" t="s">
        <v>343</v>
      </c>
      <c r="K72" s="14" t="s">
        <v>162</v>
      </c>
      <c r="L72" s="25"/>
      <c r="M72" s="26"/>
      <c r="N72" s="21" t="str">
        <f t="shared" ca="1" si="5"/>
        <v/>
      </c>
    </row>
    <row r="73" spans="1:14" ht="34.049999999999997" customHeight="1">
      <c r="A73" s="1" t="s">
        <v>344</v>
      </c>
      <c r="B73" s="1" t="s">
        <v>34</v>
      </c>
      <c r="C73" s="14" t="s">
        <v>345</v>
      </c>
      <c r="D73" s="14" t="s">
        <v>346</v>
      </c>
      <c r="E73" s="1" t="s">
        <v>151</v>
      </c>
      <c r="F73" s="22" t="s">
        <v>58</v>
      </c>
      <c r="G73" s="23" t="s">
        <v>59</v>
      </c>
      <c r="H73" s="17">
        <f t="shared" si="4"/>
        <v>0</v>
      </c>
      <c r="I73" s="24"/>
      <c r="J73" s="14" t="s">
        <v>347</v>
      </c>
      <c r="K73" s="14" t="s">
        <v>186</v>
      </c>
      <c r="L73" s="25"/>
      <c r="M73" s="26"/>
      <c r="N73" s="21" t="str">
        <f t="shared" ca="1" si="5"/>
        <v/>
      </c>
    </row>
    <row r="74" spans="1:14" ht="34.049999999999997" customHeight="1">
      <c r="A74" s="1" t="s">
        <v>348</v>
      </c>
      <c r="B74" s="1" t="s">
        <v>34</v>
      </c>
      <c r="C74" s="14" t="s">
        <v>349</v>
      </c>
      <c r="D74" s="14" t="s">
        <v>350</v>
      </c>
      <c r="E74" s="1" t="s">
        <v>351</v>
      </c>
      <c r="F74" s="22" t="s">
        <v>58</v>
      </c>
      <c r="G74" s="23" t="s">
        <v>59</v>
      </c>
      <c r="H74" s="17">
        <f t="shared" si="4"/>
        <v>0</v>
      </c>
      <c r="I74" s="24"/>
      <c r="J74" s="14" t="s">
        <v>352</v>
      </c>
      <c r="K74" s="14" t="s">
        <v>353</v>
      </c>
      <c r="L74" s="25"/>
      <c r="M74" s="26"/>
      <c r="N74" s="21" t="str">
        <f t="shared" ca="1" si="5"/>
        <v/>
      </c>
    </row>
    <row r="75" spans="1:14" ht="34.049999999999997" customHeight="1">
      <c r="A75" s="1" t="s">
        <v>354</v>
      </c>
      <c r="B75" s="1" t="s">
        <v>34</v>
      </c>
      <c r="C75" s="14" t="s">
        <v>355</v>
      </c>
      <c r="D75" s="14" t="s">
        <v>356</v>
      </c>
      <c r="E75" s="1" t="s">
        <v>351</v>
      </c>
      <c r="F75" s="22" t="s">
        <v>58</v>
      </c>
      <c r="G75" s="23" t="s">
        <v>59</v>
      </c>
      <c r="H75" s="17">
        <f t="shared" si="4"/>
        <v>0</v>
      </c>
      <c r="I75" s="24"/>
      <c r="J75" s="14" t="s">
        <v>357</v>
      </c>
      <c r="K75" s="14" t="s">
        <v>344</v>
      </c>
      <c r="L75" s="25"/>
      <c r="M75" s="26"/>
      <c r="N75" s="21" t="str">
        <f t="shared" ca="1" si="5"/>
        <v/>
      </c>
    </row>
    <row r="76" spans="1:14" ht="34.049999999999997" customHeight="1">
      <c r="A76" s="1" t="s">
        <v>358</v>
      </c>
      <c r="B76" s="1" t="s">
        <v>34</v>
      </c>
      <c r="C76" s="14" t="s">
        <v>359</v>
      </c>
      <c r="D76" s="14" t="s">
        <v>360</v>
      </c>
      <c r="E76" s="1" t="s">
        <v>351</v>
      </c>
      <c r="F76" s="22" t="s">
        <v>58</v>
      </c>
      <c r="G76" s="23" t="s">
        <v>59</v>
      </c>
      <c r="H76" s="17">
        <f t="shared" si="4"/>
        <v>0</v>
      </c>
      <c r="I76" s="24"/>
      <c r="J76" s="14" t="s">
        <v>361</v>
      </c>
      <c r="K76" s="14" t="s">
        <v>354</v>
      </c>
      <c r="L76" s="25"/>
      <c r="M76" s="26"/>
      <c r="N76" s="21" t="str">
        <f t="shared" ca="1" si="5"/>
        <v/>
      </c>
    </row>
    <row r="77" spans="1:14" ht="34.049999999999997" customHeight="1">
      <c r="A77" s="1" t="s">
        <v>362</v>
      </c>
      <c r="B77" s="1" t="s">
        <v>34</v>
      </c>
      <c r="C77" s="14" t="s">
        <v>363</v>
      </c>
      <c r="D77" s="14" t="s">
        <v>364</v>
      </c>
      <c r="E77" s="1" t="s">
        <v>351</v>
      </c>
      <c r="F77" s="22" t="s">
        <v>69</v>
      </c>
      <c r="G77" s="23" t="s">
        <v>59</v>
      </c>
      <c r="H77" s="17">
        <f t="shared" si="4"/>
        <v>0</v>
      </c>
      <c r="I77" s="24"/>
      <c r="J77" s="14" t="s">
        <v>365</v>
      </c>
      <c r="K77" s="14" t="s">
        <v>366</v>
      </c>
      <c r="L77" s="25"/>
      <c r="M77" s="26"/>
      <c r="N77" s="21" t="str">
        <f t="shared" ca="1" si="5"/>
        <v/>
      </c>
    </row>
    <row r="78" spans="1:14" ht="34.049999999999997" customHeight="1">
      <c r="A78" s="1" t="s">
        <v>367</v>
      </c>
      <c r="B78" s="1" t="s">
        <v>34</v>
      </c>
      <c r="C78" s="14" t="s">
        <v>368</v>
      </c>
      <c r="D78" s="14" t="s">
        <v>369</v>
      </c>
      <c r="E78" s="1" t="s">
        <v>351</v>
      </c>
      <c r="F78" s="22" t="s">
        <v>58</v>
      </c>
      <c r="G78" s="23" t="s">
        <v>59</v>
      </c>
      <c r="H78" s="17">
        <f t="shared" si="4"/>
        <v>0</v>
      </c>
      <c r="I78" s="24"/>
      <c r="J78" s="14" t="s">
        <v>370</v>
      </c>
      <c r="K78" s="14" t="s">
        <v>340</v>
      </c>
      <c r="L78" s="25"/>
      <c r="M78" s="26"/>
      <c r="N78" s="21" t="str">
        <f t="shared" ca="1" si="5"/>
        <v/>
      </c>
    </row>
    <row r="79" spans="1:14" ht="34.049999999999997" customHeight="1">
      <c r="A79" s="1" t="s">
        <v>371</v>
      </c>
      <c r="B79" s="1" t="s">
        <v>34</v>
      </c>
      <c r="C79" s="14" t="s">
        <v>372</v>
      </c>
      <c r="D79" s="14" t="s">
        <v>373</v>
      </c>
      <c r="E79" s="1" t="s">
        <v>351</v>
      </c>
      <c r="F79" s="22" t="s">
        <v>58</v>
      </c>
      <c r="G79" s="23" t="s">
        <v>59</v>
      </c>
      <c r="H79" s="17">
        <f t="shared" si="4"/>
        <v>0</v>
      </c>
      <c r="I79" s="24"/>
      <c r="J79" s="14" t="s">
        <v>374</v>
      </c>
      <c r="K79" s="14" t="s">
        <v>375</v>
      </c>
      <c r="L79" s="25"/>
      <c r="M79" s="26"/>
      <c r="N79" s="21" t="str">
        <f t="shared" ca="1" si="5"/>
        <v/>
      </c>
    </row>
    <row r="80" spans="1:14" ht="34.049999999999997" customHeight="1">
      <c r="A80" s="1" t="s">
        <v>376</v>
      </c>
      <c r="B80" s="1" t="s">
        <v>34</v>
      </c>
      <c r="C80" s="14" t="s">
        <v>377</v>
      </c>
      <c r="D80" s="14" t="s">
        <v>378</v>
      </c>
      <c r="E80" s="1" t="s">
        <v>351</v>
      </c>
      <c r="F80" s="22" t="s">
        <v>58</v>
      </c>
      <c r="G80" s="23" t="s">
        <v>59</v>
      </c>
      <c r="H80" s="17">
        <f t="shared" si="4"/>
        <v>0</v>
      </c>
      <c r="I80" s="24"/>
      <c r="J80" s="14" t="s">
        <v>379</v>
      </c>
      <c r="K80" s="14" t="s">
        <v>371</v>
      </c>
      <c r="L80" s="25"/>
      <c r="M80" s="26"/>
      <c r="N80" s="21" t="str">
        <f t="shared" ca="1" si="5"/>
        <v/>
      </c>
    </row>
    <row r="81" spans="1:14" ht="34.049999999999997" customHeight="1">
      <c r="A81" s="1" t="s">
        <v>380</v>
      </c>
      <c r="B81" s="1" t="s">
        <v>34</v>
      </c>
      <c r="C81" s="14" t="s">
        <v>381</v>
      </c>
      <c r="D81" s="14" t="s">
        <v>382</v>
      </c>
      <c r="E81" s="1" t="s">
        <v>383</v>
      </c>
      <c r="F81" s="22" t="s">
        <v>58</v>
      </c>
      <c r="G81" s="23" t="s">
        <v>59</v>
      </c>
      <c r="H81" s="17">
        <f t="shared" si="4"/>
        <v>0</v>
      </c>
      <c r="I81" s="24"/>
      <c r="J81" s="14" t="s">
        <v>384</v>
      </c>
      <c r="K81" s="14" t="s">
        <v>385</v>
      </c>
      <c r="L81" s="25"/>
      <c r="M81" s="26"/>
      <c r="N81" s="21" t="str">
        <f t="shared" ca="1" si="5"/>
        <v/>
      </c>
    </row>
    <row r="82" spans="1:14" ht="34.049999999999997" customHeight="1">
      <c r="A82" s="1" t="s">
        <v>386</v>
      </c>
      <c r="B82" s="1" t="s">
        <v>34</v>
      </c>
      <c r="C82" s="14" t="s">
        <v>387</v>
      </c>
      <c r="D82" s="14" t="s">
        <v>388</v>
      </c>
      <c r="E82" s="1" t="s">
        <v>383</v>
      </c>
      <c r="F82" s="22" t="s">
        <v>58</v>
      </c>
      <c r="G82" s="23" t="s">
        <v>59</v>
      </c>
      <c r="H82" s="17">
        <f t="shared" si="4"/>
        <v>0</v>
      </c>
      <c r="I82" s="24"/>
      <c r="J82" s="14" t="s">
        <v>389</v>
      </c>
      <c r="K82" s="14" t="s">
        <v>380</v>
      </c>
      <c r="L82" s="25"/>
      <c r="M82" s="26"/>
      <c r="N82" s="21" t="str">
        <f t="shared" ca="1" si="5"/>
        <v/>
      </c>
    </row>
    <row r="83" spans="1:14" ht="34.049999999999997" customHeight="1">
      <c r="A83" s="1" t="s">
        <v>390</v>
      </c>
      <c r="B83" s="1" t="s">
        <v>34</v>
      </c>
      <c r="C83" s="14" t="s">
        <v>391</v>
      </c>
      <c r="D83" s="14" t="s">
        <v>392</v>
      </c>
      <c r="E83" s="1" t="s">
        <v>383</v>
      </c>
      <c r="F83" s="22" t="s">
        <v>58</v>
      </c>
      <c r="G83" s="23" t="s">
        <v>59</v>
      </c>
      <c r="H83" s="17">
        <f t="shared" si="4"/>
        <v>0</v>
      </c>
      <c r="I83" s="24"/>
      <c r="J83" s="14" t="s">
        <v>393</v>
      </c>
      <c r="K83" s="14" t="s">
        <v>386</v>
      </c>
      <c r="L83" s="25"/>
      <c r="M83" s="26"/>
      <c r="N83" s="21" t="str">
        <f t="shared" ca="1" si="5"/>
        <v/>
      </c>
    </row>
    <row r="84" spans="1:14" ht="34.049999999999997" customHeight="1">
      <c r="A84" s="1" t="s">
        <v>394</v>
      </c>
      <c r="B84" s="1" t="s">
        <v>34</v>
      </c>
      <c r="C84" s="14" t="s">
        <v>395</v>
      </c>
      <c r="D84" s="14" t="s">
        <v>396</v>
      </c>
      <c r="E84" s="1" t="s">
        <v>383</v>
      </c>
      <c r="F84" s="22" t="s">
        <v>58</v>
      </c>
      <c r="G84" s="23" t="s">
        <v>59</v>
      </c>
      <c r="H84" s="17">
        <f t="shared" si="4"/>
        <v>0</v>
      </c>
      <c r="I84" s="24"/>
      <c r="J84" s="14" t="s">
        <v>397</v>
      </c>
      <c r="K84" s="14" t="s">
        <v>358</v>
      </c>
      <c r="L84" s="25"/>
      <c r="M84" s="26"/>
      <c r="N84" s="21" t="str">
        <f t="shared" ca="1" si="5"/>
        <v/>
      </c>
    </row>
    <row r="85" spans="1:14" ht="34.049999999999997" customHeight="1">
      <c r="A85" s="1" t="s">
        <v>398</v>
      </c>
      <c r="B85" s="1" t="s">
        <v>34</v>
      </c>
      <c r="C85" s="14" t="s">
        <v>399</v>
      </c>
      <c r="D85" s="14" t="s">
        <v>400</v>
      </c>
      <c r="E85" s="1" t="s">
        <v>383</v>
      </c>
      <c r="F85" s="22" t="s">
        <v>58</v>
      </c>
      <c r="G85" s="23" t="s">
        <v>59</v>
      </c>
      <c r="H85" s="17">
        <f t="shared" si="4"/>
        <v>0</v>
      </c>
      <c r="I85" s="24"/>
      <c r="J85" s="14" t="s">
        <v>401</v>
      </c>
      <c r="K85" s="14" t="s">
        <v>348</v>
      </c>
      <c r="L85" s="25"/>
      <c r="M85" s="26"/>
      <c r="N85" s="21" t="str">
        <f t="shared" ca="1" si="5"/>
        <v/>
      </c>
    </row>
    <row r="86" spans="1:14" ht="34.049999999999997" customHeight="1">
      <c r="A86" s="1" t="s">
        <v>402</v>
      </c>
      <c r="B86" s="1" t="s">
        <v>34</v>
      </c>
      <c r="C86" s="14" t="s">
        <v>403</v>
      </c>
      <c r="D86" s="14" t="s">
        <v>404</v>
      </c>
      <c r="E86" s="1" t="s">
        <v>383</v>
      </c>
      <c r="F86" s="22" t="s">
        <v>58</v>
      </c>
      <c r="G86" s="23" t="s">
        <v>59</v>
      </c>
      <c r="H86" s="17">
        <f t="shared" si="4"/>
        <v>0</v>
      </c>
      <c r="I86" s="24"/>
      <c r="J86" s="14" t="s">
        <v>405</v>
      </c>
      <c r="K86" s="14" t="s">
        <v>406</v>
      </c>
      <c r="L86" s="25"/>
      <c r="M86" s="26"/>
      <c r="N86" s="21" t="str">
        <f t="shared" ca="1" si="5"/>
        <v/>
      </c>
    </row>
    <row r="87" spans="1:14" ht="34.049999999999997" customHeight="1">
      <c r="A87" s="1" t="s">
        <v>407</v>
      </c>
      <c r="B87" s="1" t="s">
        <v>35</v>
      </c>
      <c r="C87" s="14" t="s">
        <v>408</v>
      </c>
      <c r="D87" s="14" t="s">
        <v>409</v>
      </c>
      <c r="E87" s="1" t="s">
        <v>383</v>
      </c>
      <c r="F87" s="22" t="s">
        <v>58</v>
      </c>
      <c r="G87" s="23" t="s">
        <v>59</v>
      </c>
      <c r="H87" s="17">
        <f t="shared" si="4"/>
        <v>0</v>
      </c>
      <c r="I87" s="24"/>
      <c r="J87" s="14" t="s">
        <v>410</v>
      </c>
      <c r="K87" s="14" t="s">
        <v>336</v>
      </c>
      <c r="L87" s="25"/>
      <c r="M87" s="26"/>
      <c r="N87" s="21" t="str">
        <f t="shared" ca="1" si="5"/>
        <v/>
      </c>
    </row>
    <row r="88" spans="1:14" ht="34.049999999999997" customHeight="1">
      <c r="A88" s="1" t="s">
        <v>411</v>
      </c>
      <c r="B88" s="1" t="s">
        <v>35</v>
      </c>
      <c r="C88" s="14" t="s">
        <v>412</v>
      </c>
      <c r="D88" s="14" t="s">
        <v>413</v>
      </c>
      <c r="E88" s="1" t="s">
        <v>383</v>
      </c>
      <c r="F88" s="22" t="s">
        <v>58</v>
      </c>
      <c r="G88" s="23" t="s">
        <v>59</v>
      </c>
      <c r="H88" s="17">
        <f t="shared" si="4"/>
        <v>0</v>
      </c>
      <c r="I88" s="24"/>
      <c r="J88" s="14" t="s">
        <v>414</v>
      </c>
      <c r="K88" s="14" t="s">
        <v>407</v>
      </c>
      <c r="L88" s="25"/>
      <c r="M88" s="26"/>
      <c r="N88" s="21" t="str">
        <f t="shared" ca="1" si="5"/>
        <v/>
      </c>
    </row>
    <row r="89" spans="1:14" ht="34.049999999999997" customHeight="1">
      <c r="A89" s="1" t="s">
        <v>415</v>
      </c>
      <c r="B89" s="1" t="s">
        <v>35</v>
      </c>
      <c r="C89" s="14" t="s">
        <v>416</v>
      </c>
      <c r="D89" s="14" t="s">
        <v>417</v>
      </c>
      <c r="E89" s="1" t="s">
        <v>383</v>
      </c>
      <c r="F89" s="22" t="s">
        <v>58</v>
      </c>
      <c r="G89" s="23" t="s">
        <v>59</v>
      </c>
      <c r="H89" s="17">
        <f t="shared" si="4"/>
        <v>0</v>
      </c>
      <c r="I89" s="24"/>
      <c r="J89" s="14" t="s">
        <v>418</v>
      </c>
      <c r="K89" s="14" t="s">
        <v>411</v>
      </c>
      <c r="L89" s="25"/>
      <c r="M89" s="26"/>
      <c r="N89" s="21" t="str">
        <f t="shared" ca="1" si="5"/>
        <v/>
      </c>
    </row>
    <row r="90" spans="1:14" ht="34.049999999999997" customHeight="1">
      <c r="A90" s="1" t="s">
        <v>419</v>
      </c>
      <c r="B90" s="1" t="s">
        <v>35</v>
      </c>
      <c r="C90" s="14" t="s">
        <v>420</v>
      </c>
      <c r="D90" s="14" t="s">
        <v>421</v>
      </c>
      <c r="E90" s="1" t="s">
        <v>383</v>
      </c>
      <c r="F90" s="22" t="s">
        <v>58</v>
      </c>
      <c r="G90" s="23" t="s">
        <v>59</v>
      </c>
      <c r="H90" s="17">
        <f t="shared" si="4"/>
        <v>0</v>
      </c>
      <c r="I90" s="24"/>
      <c r="J90" s="14" t="s">
        <v>422</v>
      </c>
      <c r="K90" s="14" t="s">
        <v>415</v>
      </c>
      <c r="L90" s="25"/>
      <c r="M90" s="26"/>
      <c r="N90" s="21" t="str">
        <f t="shared" ca="1" si="5"/>
        <v/>
      </c>
    </row>
    <row r="91" spans="1:14" ht="34.049999999999997" customHeight="1">
      <c r="A91" s="1" t="s">
        <v>423</v>
      </c>
      <c r="B91" s="1" t="s">
        <v>35</v>
      </c>
      <c r="C91" s="14" t="s">
        <v>424</v>
      </c>
      <c r="D91" s="14" t="s">
        <v>425</v>
      </c>
      <c r="E91" s="1" t="s">
        <v>383</v>
      </c>
      <c r="F91" s="22" t="s">
        <v>58</v>
      </c>
      <c r="G91" s="23" t="s">
        <v>59</v>
      </c>
      <c r="H91" s="17">
        <f t="shared" si="4"/>
        <v>0</v>
      </c>
      <c r="I91" s="24"/>
      <c r="J91" s="14" t="s">
        <v>426</v>
      </c>
      <c r="K91" s="14" t="s">
        <v>419</v>
      </c>
      <c r="L91" s="25"/>
      <c r="M91" s="26"/>
      <c r="N91" s="21" t="str">
        <f t="shared" ca="1" si="5"/>
        <v/>
      </c>
    </row>
    <row r="92" spans="1:14" ht="34.049999999999997" customHeight="1">
      <c r="A92" s="1" t="s">
        <v>427</v>
      </c>
      <c r="B92" s="1" t="s">
        <v>35</v>
      </c>
      <c r="C92" s="14" t="s">
        <v>428</v>
      </c>
      <c r="D92" s="14" t="s">
        <v>429</v>
      </c>
      <c r="E92" s="1" t="s">
        <v>383</v>
      </c>
      <c r="F92" s="22" t="s">
        <v>58</v>
      </c>
      <c r="G92" s="23" t="s">
        <v>59</v>
      </c>
      <c r="H92" s="17">
        <f t="shared" si="4"/>
        <v>0</v>
      </c>
      <c r="I92" s="24"/>
      <c r="J92" s="14" t="s">
        <v>430</v>
      </c>
      <c r="K92" s="14" t="s">
        <v>423</v>
      </c>
      <c r="L92" s="25"/>
      <c r="M92" s="26"/>
      <c r="N92" s="21" t="str">
        <f t="shared" ca="1" si="5"/>
        <v/>
      </c>
    </row>
    <row r="93" spans="1:14" ht="34.049999999999997" customHeight="1">
      <c r="A93" s="1" t="s">
        <v>431</v>
      </c>
      <c r="B93" s="1" t="s">
        <v>35</v>
      </c>
      <c r="C93" s="14" t="s">
        <v>432</v>
      </c>
      <c r="D93" s="14" t="s">
        <v>433</v>
      </c>
      <c r="E93" s="1" t="s">
        <v>383</v>
      </c>
      <c r="F93" s="22" t="s">
        <v>58</v>
      </c>
      <c r="G93" s="23" t="s">
        <v>59</v>
      </c>
      <c r="H93" s="17">
        <f t="shared" si="4"/>
        <v>0</v>
      </c>
      <c r="I93" s="24"/>
      <c r="J93" s="14" t="s">
        <v>434</v>
      </c>
      <c r="K93" s="14" t="s">
        <v>427</v>
      </c>
      <c r="L93" s="25"/>
      <c r="M93" s="26"/>
      <c r="N93" s="21" t="str">
        <f t="shared" ca="1" si="5"/>
        <v/>
      </c>
    </row>
    <row r="94" spans="1:14" ht="34.049999999999997" customHeight="1">
      <c r="A94" s="1" t="s">
        <v>435</v>
      </c>
      <c r="B94" s="1" t="s">
        <v>35</v>
      </c>
      <c r="C94" s="14" t="s">
        <v>436</v>
      </c>
      <c r="D94" s="14" t="s">
        <v>437</v>
      </c>
      <c r="E94" s="1" t="s">
        <v>383</v>
      </c>
      <c r="F94" s="22" t="s">
        <v>58</v>
      </c>
      <c r="G94" s="23" t="s">
        <v>59</v>
      </c>
      <c r="H94" s="17">
        <f t="shared" si="4"/>
        <v>0</v>
      </c>
      <c r="I94" s="24"/>
      <c r="J94" s="14" t="s">
        <v>438</v>
      </c>
      <c r="K94" s="14" t="s">
        <v>439</v>
      </c>
      <c r="L94" s="25"/>
      <c r="M94" s="26"/>
      <c r="N94" s="21" t="str">
        <f t="shared" ca="1" si="5"/>
        <v/>
      </c>
    </row>
    <row r="95" spans="1:14" ht="34.049999999999997" customHeight="1">
      <c r="A95" s="1" t="s">
        <v>440</v>
      </c>
      <c r="B95" s="1" t="s">
        <v>35</v>
      </c>
      <c r="C95" s="14" t="s">
        <v>441</v>
      </c>
      <c r="D95" s="14" t="s">
        <v>442</v>
      </c>
      <c r="E95" s="1" t="s">
        <v>383</v>
      </c>
      <c r="F95" s="22" t="s">
        <v>58</v>
      </c>
      <c r="G95" s="23" t="s">
        <v>59</v>
      </c>
      <c r="H95" s="17">
        <f t="shared" si="4"/>
        <v>0</v>
      </c>
      <c r="I95" s="24"/>
      <c r="J95" s="14" t="s">
        <v>443</v>
      </c>
      <c r="K95" s="14" t="s">
        <v>444</v>
      </c>
      <c r="L95" s="25"/>
      <c r="M95" s="26"/>
      <c r="N95" s="21" t="str">
        <f t="shared" ca="1" si="5"/>
        <v/>
      </c>
    </row>
    <row r="96" spans="1:14" ht="34.049999999999997" customHeight="1">
      <c r="A96" s="1" t="s">
        <v>445</v>
      </c>
      <c r="B96" s="1" t="s">
        <v>35</v>
      </c>
      <c r="C96" s="14" t="s">
        <v>446</v>
      </c>
      <c r="D96" s="14" t="s">
        <v>447</v>
      </c>
      <c r="E96" s="1" t="s">
        <v>383</v>
      </c>
      <c r="F96" s="22" t="s">
        <v>58</v>
      </c>
      <c r="G96" s="23" t="s">
        <v>59</v>
      </c>
      <c r="H96" s="17">
        <f t="shared" si="4"/>
        <v>0</v>
      </c>
      <c r="I96" s="24"/>
      <c r="J96" s="14" t="s">
        <v>448</v>
      </c>
      <c r="K96" s="14" t="s">
        <v>322</v>
      </c>
      <c r="L96" s="25"/>
      <c r="M96" s="26"/>
      <c r="N96" s="21" t="str">
        <f t="shared" ca="1" si="5"/>
        <v/>
      </c>
    </row>
    <row r="97" spans="1:14" ht="34.049999999999997" customHeight="1">
      <c r="A97" s="1" t="s">
        <v>449</v>
      </c>
      <c r="B97" s="1" t="s">
        <v>35</v>
      </c>
      <c r="C97" s="14" t="s">
        <v>450</v>
      </c>
      <c r="D97" s="14" t="s">
        <v>451</v>
      </c>
      <c r="E97" s="1" t="s">
        <v>383</v>
      </c>
      <c r="F97" s="22" t="s">
        <v>58</v>
      </c>
      <c r="G97" s="23" t="s">
        <v>59</v>
      </c>
      <c r="H97" s="17">
        <f t="shared" si="4"/>
        <v>0</v>
      </c>
      <c r="I97" s="24"/>
      <c r="J97" s="14" t="s">
        <v>452</v>
      </c>
      <c r="K97" s="14" t="s">
        <v>453</v>
      </c>
      <c r="L97" s="25"/>
      <c r="M97" s="26"/>
      <c r="N97" s="21" t="str">
        <f t="shared" ca="1" si="5"/>
        <v/>
      </c>
    </row>
    <row r="98" spans="1:14" ht="34.049999999999997" customHeight="1">
      <c r="A98" s="1" t="s">
        <v>454</v>
      </c>
      <c r="B98" s="1" t="s">
        <v>35</v>
      </c>
      <c r="C98" s="14" t="s">
        <v>455</v>
      </c>
      <c r="D98" s="14" t="s">
        <v>456</v>
      </c>
      <c r="E98" s="1" t="s">
        <v>383</v>
      </c>
      <c r="F98" s="22" t="s">
        <v>69</v>
      </c>
      <c r="G98" s="23" t="s">
        <v>59</v>
      </c>
      <c r="H98" s="17">
        <f t="shared" si="4"/>
        <v>0</v>
      </c>
      <c r="I98" s="24"/>
      <c r="J98" s="14" t="s">
        <v>457</v>
      </c>
      <c r="K98" s="14" t="s">
        <v>458</v>
      </c>
      <c r="L98" s="25"/>
      <c r="M98" s="26"/>
      <c r="N98" s="21" t="str">
        <f t="shared" ca="1" si="5"/>
        <v/>
      </c>
    </row>
    <row r="99" spans="1:14" ht="34.049999999999997" customHeight="1">
      <c r="A99" s="1" t="s">
        <v>459</v>
      </c>
      <c r="B99" s="1" t="s">
        <v>35</v>
      </c>
      <c r="C99" s="14" t="s">
        <v>460</v>
      </c>
      <c r="D99" s="14" t="s">
        <v>461</v>
      </c>
      <c r="E99" s="1" t="s">
        <v>383</v>
      </c>
      <c r="F99" s="22" t="s">
        <v>58</v>
      </c>
      <c r="G99" s="23" t="s">
        <v>59</v>
      </c>
      <c r="H99" s="17">
        <f t="shared" si="4"/>
        <v>0</v>
      </c>
      <c r="I99" s="24"/>
      <c r="J99" s="14" t="s">
        <v>462</v>
      </c>
      <c r="K99" s="14" t="s">
        <v>463</v>
      </c>
      <c r="L99" s="25"/>
      <c r="M99" s="26"/>
      <c r="N99" s="21" t="str">
        <f t="shared" ca="1" si="5"/>
        <v/>
      </c>
    </row>
    <row r="100" spans="1:14" ht="34.049999999999997" customHeight="1">
      <c r="A100" s="1" t="s">
        <v>464</v>
      </c>
      <c r="B100" s="1" t="s">
        <v>35</v>
      </c>
      <c r="C100" s="14" t="s">
        <v>465</v>
      </c>
      <c r="D100" s="14" t="s">
        <v>466</v>
      </c>
      <c r="E100" s="1" t="s">
        <v>383</v>
      </c>
      <c r="F100" s="22" t="s">
        <v>58</v>
      </c>
      <c r="G100" s="23" t="s">
        <v>59</v>
      </c>
      <c r="H100" s="17">
        <f t="shared" si="4"/>
        <v>0</v>
      </c>
      <c r="I100" s="24"/>
      <c r="J100" s="14" t="s">
        <v>467</v>
      </c>
      <c r="K100" s="14" t="s">
        <v>468</v>
      </c>
      <c r="L100" s="25"/>
      <c r="M100" s="26"/>
      <c r="N100" s="21" t="str">
        <f t="shared" ca="1" si="5"/>
        <v/>
      </c>
    </row>
    <row r="101" spans="1:14" ht="34.049999999999997" customHeight="1">
      <c r="A101" s="1" t="s">
        <v>469</v>
      </c>
      <c r="B101" s="1" t="s">
        <v>36</v>
      </c>
      <c r="C101" s="14" t="s">
        <v>470</v>
      </c>
      <c r="D101" s="14" t="s">
        <v>471</v>
      </c>
      <c r="E101" s="1" t="s">
        <v>472</v>
      </c>
      <c r="F101" s="22" t="s">
        <v>58</v>
      </c>
      <c r="G101" s="23" t="s">
        <v>59</v>
      </c>
      <c r="H101" s="17">
        <f t="shared" ref="H101:H132" si="6">IF(G101="☑ Hoàn thành",1,IF(G101="◐ Đang làm",0.5,IF(G101="⚠ Bị chặn",0.25,0)))</f>
        <v>0</v>
      </c>
      <c r="I101" s="24"/>
      <c r="J101" s="14" t="s">
        <v>473</v>
      </c>
      <c r="K101" s="14" t="s">
        <v>449</v>
      </c>
      <c r="L101" s="25"/>
      <c r="M101" s="26"/>
      <c r="N101" s="21" t="str">
        <f t="shared" ref="N101:N134" ca="1" si="7">IF(OR(I101="",G101="☑ Hoàn thành",G101="— Không áp dụng"),"",MAX(0,TODAY()-I101))</f>
        <v/>
      </c>
    </row>
    <row r="102" spans="1:14" ht="34.049999999999997" customHeight="1">
      <c r="A102" s="1" t="s">
        <v>474</v>
      </c>
      <c r="B102" s="1" t="s">
        <v>36</v>
      </c>
      <c r="C102" s="14" t="s">
        <v>475</v>
      </c>
      <c r="D102" s="14" t="s">
        <v>476</v>
      </c>
      <c r="E102" s="1" t="s">
        <v>472</v>
      </c>
      <c r="F102" s="22" t="s">
        <v>58</v>
      </c>
      <c r="G102" s="23" t="s">
        <v>59</v>
      </c>
      <c r="H102" s="17">
        <f t="shared" si="6"/>
        <v>0</v>
      </c>
      <c r="I102" s="24"/>
      <c r="J102" s="14" t="s">
        <v>477</v>
      </c>
      <c r="K102" s="14" t="s">
        <v>478</v>
      </c>
      <c r="L102" s="25"/>
      <c r="M102" s="26"/>
      <c r="N102" s="21" t="str">
        <f t="shared" ca="1" si="7"/>
        <v/>
      </c>
    </row>
    <row r="103" spans="1:14" ht="34.049999999999997" customHeight="1">
      <c r="A103" s="1" t="s">
        <v>479</v>
      </c>
      <c r="B103" s="1" t="s">
        <v>36</v>
      </c>
      <c r="C103" s="14" t="s">
        <v>480</v>
      </c>
      <c r="D103" s="14" t="s">
        <v>481</v>
      </c>
      <c r="E103" s="1" t="s">
        <v>472</v>
      </c>
      <c r="F103" s="22" t="s">
        <v>58</v>
      </c>
      <c r="G103" s="23" t="s">
        <v>59</v>
      </c>
      <c r="H103" s="17">
        <f t="shared" si="6"/>
        <v>0</v>
      </c>
      <c r="I103" s="24"/>
      <c r="J103" s="14" t="s">
        <v>482</v>
      </c>
      <c r="K103" s="14" t="s">
        <v>469</v>
      </c>
      <c r="L103" s="25"/>
      <c r="M103" s="26"/>
      <c r="N103" s="21" t="str">
        <f t="shared" ca="1" si="7"/>
        <v/>
      </c>
    </row>
    <row r="104" spans="1:14" ht="34.049999999999997" customHeight="1">
      <c r="A104" s="1" t="s">
        <v>483</v>
      </c>
      <c r="B104" s="1" t="s">
        <v>36</v>
      </c>
      <c r="C104" s="14" t="s">
        <v>484</v>
      </c>
      <c r="D104" s="14" t="s">
        <v>485</v>
      </c>
      <c r="E104" s="1" t="s">
        <v>472</v>
      </c>
      <c r="F104" s="22" t="s">
        <v>58</v>
      </c>
      <c r="G104" s="23" t="s">
        <v>59</v>
      </c>
      <c r="H104" s="17">
        <f t="shared" si="6"/>
        <v>0</v>
      </c>
      <c r="I104" s="24"/>
      <c r="J104" s="14" t="s">
        <v>486</v>
      </c>
      <c r="K104" s="14" t="s">
        <v>487</v>
      </c>
      <c r="L104" s="25"/>
      <c r="M104" s="26"/>
      <c r="N104" s="21" t="str">
        <f t="shared" ca="1" si="7"/>
        <v/>
      </c>
    </row>
    <row r="105" spans="1:14" ht="34.049999999999997" customHeight="1">
      <c r="A105" s="1" t="s">
        <v>488</v>
      </c>
      <c r="B105" s="1" t="s">
        <v>36</v>
      </c>
      <c r="C105" s="14" t="s">
        <v>489</v>
      </c>
      <c r="D105" s="14" t="s">
        <v>490</v>
      </c>
      <c r="E105" s="1" t="s">
        <v>472</v>
      </c>
      <c r="F105" s="22" t="s">
        <v>69</v>
      </c>
      <c r="G105" s="23" t="s">
        <v>59</v>
      </c>
      <c r="H105" s="17">
        <f t="shared" si="6"/>
        <v>0</v>
      </c>
      <c r="I105" s="24"/>
      <c r="J105" s="14" t="s">
        <v>491</v>
      </c>
      <c r="K105" s="14" t="s">
        <v>492</v>
      </c>
      <c r="L105" s="25"/>
      <c r="M105" s="26"/>
      <c r="N105" s="21" t="str">
        <f t="shared" ca="1" si="7"/>
        <v/>
      </c>
    </row>
    <row r="106" spans="1:14" ht="34.049999999999997" customHeight="1">
      <c r="A106" s="1" t="s">
        <v>493</v>
      </c>
      <c r="B106" s="1" t="s">
        <v>36</v>
      </c>
      <c r="C106" s="14" t="s">
        <v>494</v>
      </c>
      <c r="D106" s="14" t="s">
        <v>495</v>
      </c>
      <c r="E106" s="1" t="s">
        <v>472</v>
      </c>
      <c r="F106" s="22" t="s">
        <v>58</v>
      </c>
      <c r="G106" s="23" t="s">
        <v>59</v>
      </c>
      <c r="H106" s="17">
        <f t="shared" si="6"/>
        <v>0</v>
      </c>
      <c r="I106" s="24"/>
      <c r="J106" s="14" t="s">
        <v>496</v>
      </c>
      <c r="K106" s="14" t="s">
        <v>497</v>
      </c>
      <c r="L106" s="25"/>
      <c r="M106" s="26"/>
      <c r="N106" s="21" t="str">
        <f t="shared" ca="1" si="7"/>
        <v/>
      </c>
    </row>
    <row r="107" spans="1:14" ht="34.049999999999997" customHeight="1">
      <c r="A107" s="1" t="s">
        <v>498</v>
      </c>
      <c r="B107" s="1" t="s">
        <v>36</v>
      </c>
      <c r="C107" s="14" t="s">
        <v>499</v>
      </c>
      <c r="D107" s="14" t="s">
        <v>500</v>
      </c>
      <c r="E107" s="1" t="s">
        <v>472</v>
      </c>
      <c r="F107" s="22" t="s">
        <v>69</v>
      </c>
      <c r="G107" s="23" t="s">
        <v>59</v>
      </c>
      <c r="H107" s="17">
        <f t="shared" si="6"/>
        <v>0</v>
      </c>
      <c r="I107" s="24"/>
      <c r="J107" s="14" t="s">
        <v>501</v>
      </c>
      <c r="K107" s="14" t="s">
        <v>502</v>
      </c>
      <c r="L107" s="25"/>
      <c r="M107" s="26"/>
      <c r="N107" s="21" t="str">
        <f t="shared" ca="1" si="7"/>
        <v/>
      </c>
    </row>
    <row r="108" spans="1:14" ht="34.049999999999997" customHeight="1">
      <c r="A108" s="1" t="s">
        <v>503</v>
      </c>
      <c r="B108" s="1" t="s">
        <v>36</v>
      </c>
      <c r="C108" s="14" t="s">
        <v>504</v>
      </c>
      <c r="D108" s="14" t="s">
        <v>505</v>
      </c>
      <c r="E108" s="1" t="s">
        <v>472</v>
      </c>
      <c r="F108" s="22" t="s">
        <v>58</v>
      </c>
      <c r="G108" s="23" t="s">
        <v>59</v>
      </c>
      <c r="H108" s="17">
        <f t="shared" si="6"/>
        <v>0</v>
      </c>
      <c r="I108" s="24"/>
      <c r="J108" s="14" t="s">
        <v>506</v>
      </c>
      <c r="K108" s="14" t="s">
        <v>507</v>
      </c>
      <c r="L108" s="25"/>
      <c r="M108" s="26"/>
      <c r="N108" s="21" t="str">
        <f t="shared" ca="1" si="7"/>
        <v/>
      </c>
    </row>
    <row r="109" spans="1:14" ht="34.049999999999997" customHeight="1">
      <c r="A109" s="1" t="s">
        <v>508</v>
      </c>
      <c r="B109" s="1" t="s">
        <v>37</v>
      </c>
      <c r="C109" s="14" t="s">
        <v>509</v>
      </c>
      <c r="D109" s="14" t="s">
        <v>510</v>
      </c>
      <c r="E109" s="1" t="s">
        <v>472</v>
      </c>
      <c r="F109" s="22" t="s">
        <v>58</v>
      </c>
      <c r="G109" s="23" t="s">
        <v>59</v>
      </c>
      <c r="H109" s="17">
        <f t="shared" si="6"/>
        <v>0</v>
      </c>
      <c r="I109" s="24"/>
      <c r="J109" s="14" t="s">
        <v>511</v>
      </c>
      <c r="K109" s="14" t="s">
        <v>93</v>
      </c>
      <c r="L109" s="25"/>
      <c r="M109" s="26"/>
      <c r="N109" s="21" t="str">
        <f t="shared" ca="1" si="7"/>
        <v/>
      </c>
    </row>
    <row r="110" spans="1:14" ht="34.049999999999997" customHeight="1">
      <c r="A110" s="1" t="s">
        <v>512</v>
      </c>
      <c r="B110" s="1" t="s">
        <v>37</v>
      </c>
      <c r="C110" s="14" t="s">
        <v>513</v>
      </c>
      <c r="D110" s="14" t="s">
        <v>514</v>
      </c>
      <c r="E110" s="1" t="s">
        <v>472</v>
      </c>
      <c r="F110" s="22" t="s">
        <v>58</v>
      </c>
      <c r="G110" s="23" t="s">
        <v>59</v>
      </c>
      <c r="H110" s="17">
        <f t="shared" si="6"/>
        <v>0</v>
      </c>
      <c r="I110" s="24"/>
      <c r="J110" s="14" t="s">
        <v>515</v>
      </c>
      <c r="K110" s="14" t="s">
        <v>508</v>
      </c>
      <c r="L110" s="25"/>
      <c r="M110" s="26"/>
      <c r="N110" s="21" t="str">
        <f t="shared" ca="1" si="7"/>
        <v/>
      </c>
    </row>
    <row r="111" spans="1:14" ht="34.049999999999997" customHeight="1">
      <c r="A111" s="1" t="s">
        <v>516</v>
      </c>
      <c r="B111" s="1" t="s">
        <v>37</v>
      </c>
      <c r="C111" s="14" t="s">
        <v>517</v>
      </c>
      <c r="D111" s="14" t="s">
        <v>518</v>
      </c>
      <c r="E111" s="1" t="s">
        <v>472</v>
      </c>
      <c r="F111" s="22" t="s">
        <v>58</v>
      </c>
      <c r="G111" s="23" t="s">
        <v>59</v>
      </c>
      <c r="H111" s="17">
        <f t="shared" si="6"/>
        <v>0</v>
      </c>
      <c r="I111" s="24"/>
      <c r="J111" s="14" t="s">
        <v>519</v>
      </c>
      <c r="K111" s="14" t="s">
        <v>503</v>
      </c>
      <c r="L111" s="25"/>
      <c r="M111" s="26"/>
      <c r="N111" s="21" t="str">
        <f t="shared" ca="1" si="7"/>
        <v/>
      </c>
    </row>
    <row r="112" spans="1:14" ht="34.049999999999997" customHeight="1">
      <c r="A112" s="1" t="s">
        <v>520</v>
      </c>
      <c r="B112" s="1" t="s">
        <v>37</v>
      </c>
      <c r="C112" s="14" t="s">
        <v>521</v>
      </c>
      <c r="D112" s="14" t="s">
        <v>522</v>
      </c>
      <c r="E112" s="1" t="s">
        <v>472</v>
      </c>
      <c r="F112" s="22" t="s">
        <v>58</v>
      </c>
      <c r="G112" s="23" t="s">
        <v>59</v>
      </c>
      <c r="H112" s="17">
        <f t="shared" si="6"/>
        <v>0</v>
      </c>
      <c r="I112" s="24"/>
      <c r="J112" s="14" t="s">
        <v>523</v>
      </c>
      <c r="K112" s="14" t="s">
        <v>524</v>
      </c>
      <c r="L112" s="25"/>
      <c r="M112" s="26"/>
      <c r="N112" s="21" t="str">
        <f t="shared" ca="1" si="7"/>
        <v/>
      </c>
    </row>
    <row r="113" spans="1:14" ht="34.049999999999997" customHeight="1">
      <c r="A113" s="1" t="s">
        <v>525</v>
      </c>
      <c r="B113" s="1" t="s">
        <v>37</v>
      </c>
      <c r="C113" s="14" t="s">
        <v>526</v>
      </c>
      <c r="D113" s="14" t="s">
        <v>527</v>
      </c>
      <c r="E113" s="1" t="s">
        <v>472</v>
      </c>
      <c r="F113" s="22" t="s">
        <v>58</v>
      </c>
      <c r="G113" s="23" t="s">
        <v>59</v>
      </c>
      <c r="H113" s="17">
        <f t="shared" si="6"/>
        <v>0</v>
      </c>
      <c r="I113" s="24"/>
      <c r="J113" s="14" t="s">
        <v>528</v>
      </c>
      <c r="K113" s="14" t="s">
        <v>524</v>
      </c>
      <c r="L113" s="25"/>
      <c r="M113" s="26"/>
      <c r="N113" s="21" t="str">
        <f t="shared" ca="1" si="7"/>
        <v/>
      </c>
    </row>
    <row r="114" spans="1:14" ht="34.049999999999997" customHeight="1">
      <c r="A114" s="1" t="s">
        <v>529</v>
      </c>
      <c r="B114" s="1" t="s">
        <v>37</v>
      </c>
      <c r="C114" s="14" t="s">
        <v>530</v>
      </c>
      <c r="D114" s="14" t="s">
        <v>531</v>
      </c>
      <c r="E114" s="1" t="s">
        <v>472</v>
      </c>
      <c r="F114" s="22" t="s">
        <v>69</v>
      </c>
      <c r="G114" s="23" t="s">
        <v>59</v>
      </c>
      <c r="H114" s="17">
        <f t="shared" si="6"/>
        <v>0</v>
      </c>
      <c r="I114" s="24"/>
      <c r="J114" s="14" t="s">
        <v>532</v>
      </c>
      <c r="K114" s="14" t="s">
        <v>533</v>
      </c>
      <c r="L114" s="25"/>
      <c r="M114" s="26"/>
      <c r="N114" s="21" t="str">
        <f t="shared" ca="1" si="7"/>
        <v/>
      </c>
    </row>
    <row r="115" spans="1:14" ht="34.049999999999997" customHeight="1">
      <c r="A115" s="1" t="s">
        <v>534</v>
      </c>
      <c r="B115" s="1" t="s">
        <v>37</v>
      </c>
      <c r="C115" s="14" t="s">
        <v>535</v>
      </c>
      <c r="D115" s="14" t="s">
        <v>536</v>
      </c>
      <c r="E115" s="1" t="s">
        <v>537</v>
      </c>
      <c r="F115" s="22" t="s">
        <v>58</v>
      </c>
      <c r="G115" s="23" t="s">
        <v>59</v>
      </c>
      <c r="H115" s="17">
        <f t="shared" si="6"/>
        <v>0</v>
      </c>
      <c r="I115" s="24"/>
      <c r="J115" s="14" t="s">
        <v>538</v>
      </c>
      <c r="K115" s="14" t="s">
        <v>539</v>
      </c>
      <c r="L115" s="25"/>
      <c r="M115" s="26"/>
      <c r="N115" s="21" t="str">
        <f t="shared" ca="1" si="7"/>
        <v/>
      </c>
    </row>
    <row r="116" spans="1:14" ht="34.049999999999997" customHeight="1">
      <c r="A116" s="1" t="s">
        <v>540</v>
      </c>
      <c r="B116" s="1" t="s">
        <v>37</v>
      </c>
      <c r="C116" s="14" t="s">
        <v>541</v>
      </c>
      <c r="D116" s="14" t="s">
        <v>542</v>
      </c>
      <c r="E116" s="1" t="s">
        <v>543</v>
      </c>
      <c r="F116" s="22" t="s">
        <v>58</v>
      </c>
      <c r="G116" s="23" t="s">
        <v>59</v>
      </c>
      <c r="H116" s="17">
        <f t="shared" si="6"/>
        <v>0</v>
      </c>
      <c r="I116" s="24"/>
      <c r="J116" s="14" t="s">
        <v>544</v>
      </c>
      <c r="K116" s="14" t="s">
        <v>545</v>
      </c>
      <c r="L116" s="25"/>
      <c r="M116" s="26"/>
      <c r="N116" s="21" t="str">
        <f t="shared" ca="1" si="7"/>
        <v/>
      </c>
    </row>
    <row r="117" spans="1:14" ht="34.049999999999997" customHeight="1">
      <c r="A117" s="1" t="s">
        <v>546</v>
      </c>
      <c r="B117" s="1" t="s">
        <v>37</v>
      </c>
      <c r="C117" s="14" t="s">
        <v>547</v>
      </c>
      <c r="D117" s="14" t="s">
        <v>548</v>
      </c>
      <c r="E117" s="1" t="s">
        <v>543</v>
      </c>
      <c r="F117" s="22" t="s">
        <v>58</v>
      </c>
      <c r="G117" s="23" t="s">
        <v>59</v>
      </c>
      <c r="H117" s="17">
        <f t="shared" si="6"/>
        <v>0</v>
      </c>
      <c r="I117" s="24"/>
      <c r="J117" s="14" t="s">
        <v>549</v>
      </c>
      <c r="K117" s="14" t="s">
        <v>550</v>
      </c>
      <c r="L117" s="25"/>
      <c r="M117" s="26"/>
      <c r="N117" s="21" t="str">
        <f t="shared" ca="1" si="7"/>
        <v/>
      </c>
    </row>
    <row r="118" spans="1:14" ht="34.049999999999997" customHeight="1">
      <c r="A118" s="1" t="s">
        <v>551</v>
      </c>
      <c r="B118" s="1" t="s">
        <v>37</v>
      </c>
      <c r="C118" s="14" t="s">
        <v>552</v>
      </c>
      <c r="D118" s="14" t="s">
        <v>553</v>
      </c>
      <c r="E118" s="1" t="s">
        <v>543</v>
      </c>
      <c r="F118" s="22" t="s">
        <v>58</v>
      </c>
      <c r="G118" s="23" t="s">
        <v>59</v>
      </c>
      <c r="H118" s="17">
        <f t="shared" si="6"/>
        <v>0</v>
      </c>
      <c r="I118" s="24"/>
      <c r="J118" s="14" t="s">
        <v>554</v>
      </c>
      <c r="K118" s="14" t="s">
        <v>555</v>
      </c>
      <c r="L118" s="25"/>
      <c r="M118" s="26"/>
      <c r="N118" s="21" t="str">
        <f t="shared" ca="1" si="7"/>
        <v/>
      </c>
    </row>
    <row r="119" spans="1:14" ht="34.049999999999997" customHeight="1">
      <c r="A119" s="1" t="s">
        <v>556</v>
      </c>
      <c r="B119" s="1" t="s">
        <v>37</v>
      </c>
      <c r="C119" s="14" t="s">
        <v>557</v>
      </c>
      <c r="D119" s="14" t="s">
        <v>558</v>
      </c>
      <c r="E119" s="1" t="s">
        <v>543</v>
      </c>
      <c r="F119" s="22" t="s">
        <v>58</v>
      </c>
      <c r="G119" s="23" t="s">
        <v>59</v>
      </c>
      <c r="H119" s="17">
        <f t="shared" si="6"/>
        <v>0</v>
      </c>
      <c r="I119" s="24"/>
      <c r="J119" s="14" t="s">
        <v>559</v>
      </c>
      <c r="K119" s="14" t="s">
        <v>546</v>
      </c>
      <c r="L119" s="25"/>
      <c r="M119" s="26"/>
      <c r="N119" s="21" t="str">
        <f t="shared" ca="1" si="7"/>
        <v/>
      </c>
    </row>
    <row r="120" spans="1:14" ht="34.049999999999997" customHeight="1">
      <c r="A120" s="1" t="s">
        <v>560</v>
      </c>
      <c r="B120" s="1" t="s">
        <v>37</v>
      </c>
      <c r="C120" s="14" t="s">
        <v>561</v>
      </c>
      <c r="D120" s="14" t="s">
        <v>562</v>
      </c>
      <c r="E120" s="1" t="s">
        <v>563</v>
      </c>
      <c r="F120" s="22" t="s">
        <v>58</v>
      </c>
      <c r="G120" s="23" t="s">
        <v>59</v>
      </c>
      <c r="H120" s="17">
        <f t="shared" si="6"/>
        <v>0</v>
      </c>
      <c r="I120" s="24"/>
      <c r="J120" s="14" t="s">
        <v>564</v>
      </c>
      <c r="K120" s="14" t="s">
        <v>565</v>
      </c>
      <c r="L120" s="25"/>
      <c r="M120" s="26"/>
      <c r="N120" s="21" t="str">
        <f t="shared" ca="1" si="7"/>
        <v/>
      </c>
    </row>
    <row r="121" spans="1:14" ht="34.049999999999997" customHeight="1">
      <c r="A121" s="1" t="s">
        <v>566</v>
      </c>
      <c r="B121" s="1" t="s">
        <v>37</v>
      </c>
      <c r="C121" s="14" t="s">
        <v>567</v>
      </c>
      <c r="D121" s="14" t="s">
        <v>568</v>
      </c>
      <c r="E121" s="1" t="s">
        <v>563</v>
      </c>
      <c r="F121" s="22" t="s">
        <v>58</v>
      </c>
      <c r="G121" s="23" t="s">
        <v>59</v>
      </c>
      <c r="H121" s="17">
        <f t="shared" si="6"/>
        <v>0</v>
      </c>
      <c r="I121" s="24"/>
      <c r="J121" s="14" t="s">
        <v>569</v>
      </c>
      <c r="K121" s="14" t="s">
        <v>570</v>
      </c>
      <c r="L121" s="25"/>
      <c r="M121" s="26"/>
      <c r="N121" s="21" t="str">
        <f t="shared" ca="1" si="7"/>
        <v/>
      </c>
    </row>
    <row r="122" spans="1:14" ht="34.049999999999997" customHeight="1">
      <c r="A122" s="1" t="s">
        <v>571</v>
      </c>
      <c r="B122" s="1" t="s">
        <v>37</v>
      </c>
      <c r="C122" s="14" t="s">
        <v>572</v>
      </c>
      <c r="D122" s="14" t="s">
        <v>573</v>
      </c>
      <c r="E122" s="1" t="s">
        <v>563</v>
      </c>
      <c r="F122" s="22" t="s">
        <v>58</v>
      </c>
      <c r="G122" s="23" t="s">
        <v>59</v>
      </c>
      <c r="H122" s="17">
        <f t="shared" si="6"/>
        <v>0</v>
      </c>
      <c r="I122" s="24"/>
      <c r="J122" s="14" t="s">
        <v>574</v>
      </c>
      <c r="K122" s="14" t="s">
        <v>566</v>
      </c>
      <c r="L122" s="25"/>
      <c r="M122" s="26"/>
      <c r="N122" s="21" t="str">
        <f t="shared" ca="1" si="7"/>
        <v/>
      </c>
    </row>
    <row r="123" spans="1:14" ht="34.049999999999997" customHeight="1">
      <c r="A123" s="1" t="s">
        <v>575</v>
      </c>
      <c r="B123" s="1" t="s">
        <v>38</v>
      </c>
      <c r="C123" s="14" t="s">
        <v>576</v>
      </c>
      <c r="D123" s="14" t="s">
        <v>577</v>
      </c>
      <c r="E123" s="1" t="s">
        <v>578</v>
      </c>
      <c r="F123" s="22" t="s">
        <v>58</v>
      </c>
      <c r="G123" s="23" t="s">
        <v>59</v>
      </c>
      <c r="H123" s="17">
        <f t="shared" si="6"/>
        <v>0</v>
      </c>
      <c r="I123" s="24"/>
      <c r="J123" s="14" t="s">
        <v>579</v>
      </c>
      <c r="K123" s="14" t="s">
        <v>571</v>
      </c>
      <c r="L123" s="25"/>
      <c r="M123" s="26"/>
      <c r="N123" s="21" t="str">
        <f t="shared" ca="1" si="7"/>
        <v/>
      </c>
    </row>
    <row r="124" spans="1:14" ht="34.049999999999997" customHeight="1">
      <c r="A124" s="1" t="s">
        <v>580</v>
      </c>
      <c r="B124" s="1" t="s">
        <v>38</v>
      </c>
      <c r="C124" s="14" t="s">
        <v>581</v>
      </c>
      <c r="D124" s="14" t="s">
        <v>582</v>
      </c>
      <c r="E124" s="1" t="s">
        <v>583</v>
      </c>
      <c r="F124" s="22" t="s">
        <v>58</v>
      </c>
      <c r="G124" s="23" t="s">
        <v>59</v>
      </c>
      <c r="H124" s="17">
        <f t="shared" si="6"/>
        <v>0</v>
      </c>
      <c r="I124" s="24"/>
      <c r="J124" s="14" t="s">
        <v>584</v>
      </c>
      <c r="K124" s="14" t="s">
        <v>115</v>
      </c>
      <c r="L124" s="25"/>
      <c r="M124" s="26"/>
      <c r="N124" s="21" t="str">
        <f t="shared" ca="1" si="7"/>
        <v/>
      </c>
    </row>
    <row r="125" spans="1:14" ht="34.049999999999997" customHeight="1">
      <c r="A125" s="1" t="s">
        <v>585</v>
      </c>
      <c r="B125" s="1" t="s">
        <v>38</v>
      </c>
      <c r="C125" s="14" t="s">
        <v>586</v>
      </c>
      <c r="D125" s="14" t="s">
        <v>587</v>
      </c>
      <c r="E125" s="1" t="s">
        <v>583</v>
      </c>
      <c r="F125" s="22" t="s">
        <v>58</v>
      </c>
      <c r="G125" s="23" t="s">
        <v>59</v>
      </c>
      <c r="H125" s="17">
        <f t="shared" si="6"/>
        <v>0</v>
      </c>
      <c r="I125" s="24"/>
      <c r="J125" s="14" t="s">
        <v>588</v>
      </c>
      <c r="K125" s="14" t="s">
        <v>589</v>
      </c>
      <c r="L125" s="25"/>
      <c r="M125" s="26"/>
      <c r="N125" s="21" t="str">
        <f t="shared" ca="1" si="7"/>
        <v/>
      </c>
    </row>
    <row r="126" spans="1:14" ht="34.049999999999997" customHeight="1">
      <c r="A126" s="1" t="s">
        <v>590</v>
      </c>
      <c r="B126" s="1" t="s">
        <v>38</v>
      </c>
      <c r="C126" s="14" t="s">
        <v>591</v>
      </c>
      <c r="D126" s="14" t="s">
        <v>592</v>
      </c>
      <c r="E126" s="1" t="s">
        <v>583</v>
      </c>
      <c r="F126" s="22" t="s">
        <v>58</v>
      </c>
      <c r="G126" s="23" t="s">
        <v>59</v>
      </c>
      <c r="H126" s="17">
        <f t="shared" si="6"/>
        <v>0</v>
      </c>
      <c r="I126" s="24"/>
      <c r="J126" s="14" t="s">
        <v>593</v>
      </c>
      <c r="K126" s="14" t="s">
        <v>276</v>
      </c>
      <c r="L126" s="25"/>
      <c r="M126" s="26"/>
      <c r="N126" s="21" t="str">
        <f t="shared" ca="1" si="7"/>
        <v/>
      </c>
    </row>
    <row r="127" spans="1:14" ht="34.049999999999997" customHeight="1">
      <c r="A127" s="1" t="s">
        <v>594</v>
      </c>
      <c r="B127" s="1" t="s">
        <v>38</v>
      </c>
      <c r="C127" s="14" t="s">
        <v>595</v>
      </c>
      <c r="D127" s="14" t="s">
        <v>596</v>
      </c>
      <c r="E127" s="1" t="s">
        <v>583</v>
      </c>
      <c r="F127" s="22" t="s">
        <v>58</v>
      </c>
      <c r="G127" s="23" t="s">
        <v>59</v>
      </c>
      <c r="H127" s="17">
        <f t="shared" si="6"/>
        <v>0</v>
      </c>
      <c r="I127" s="24"/>
      <c r="J127" s="14" t="s">
        <v>597</v>
      </c>
      <c r="K127" s="14" t="s">
        <v>336</v>
      </c>
      <c r="L127" s="25"/>
      <c r="M127" s="26"/>
      <c r="N127" s="21" t="str">
        <f t="shared" ca="1" si="7"/>
        <v/>
      </c>
    </row>
    <row r="128" spans="1:14" ht="34.049999999999997" customHeight="1">
      <c r="A128" s="1" t="s">
        <v>598</v>
      </c>
      <c r="B128" s="1" t="s">
        <v>38</v>
      </c>
      <c r="C128" s="14" t="s">
        <v>599</v>
      </c>
      <c r="D128" s="14" t="s">
        <v>600</v>
      </c>
      <c r="E128" s="1" t="s">
        <v>583</v>
      </c>
      <c r="F128" s="22" t="s">
        <v>58</v>
      </c>
      <c r="G128" s="23" t="s">
        <v>59</v>
      </c>
      <c r="H128" s="17">
        <f t="shared" si="6"/>
        <v>0</v>
      </c>
      <c r="I128" s="24"/>
      <c r="J128" s="14" t="s">
        <v>601</v>
      </c>
      <c r="K128" s="14" t="s">
        <v>402</v>
      </c>
      <c r="L128" s="25"/>
      <c r="M128" s="26"/>
      <c r="N128" s="21" t="str">
        <f t="shared" ca="1" si="7"/>
        <v/>
      </c>
    </row>
    <row r="129" spans="1:14" ht="34.049999999999997" customHeight="1">
      <c r="A129" s="1" t="s">
        <v>602</v>
      </c>
      <c r="B129" s="1" t="s">
        <v>38</v>
      </c>
      <c r="C129" s="14" t="s">
        <v>603</v>
      </c>
      <c r="D129" s="14" t="s">
        <v>604</v>
      </c>
      <c r="E129" s="1" t="s">
        <v>583</v>
      </c>
      <c r="F129" s="22" t="s">
        <v>58</v>
      </c>
      <c r="G129" s="23" t="s">
        <v>59</v>
      </c>
      <c r="H129" s="17">
        <f t="shared" si="6"/>
        <v>0</v>
      </c>
      <c r="I129" s="24"/>
      <c r="J129" s="14" t="s">
        <v>605</v>
      </c>
      <c r="K129" s="14" t="s">
        <v>606</v>
      </c>
      <c r="L129" s="25"/>
      <c r="M129" s="26"/>
      <c r="N129" s="21" t="str">
        <f t="shared" ca="1" si="7"/>
        <v/>
      </c>
    </row>
    <row r="130" spans="1:14" ht="34.049999999999997" customHeight="1">
      <c r="A130" s="1" t="s">
        <v>607</v>
      </c>
      <c r="B130" s="1" t="s">
        <v>38</v>
      </c>
      <c r="C130" s="14" t="s">
        <v>608</v>
      </c>
      <c r="D130" s="14" t="s">
        <v>609</v>
      </c>
      <c r="E130" s="1" t="s">
        <v>583</v>
      </c>
      <c r="F130" s="22" t="s">
        <v>58</v>
      </c>
      <c r="G130" s="23" t="s">
        <v>59</v>
      </c>
      <c r="H130" s="17">
        <f t="shared" si="6"/>
        <v>0</v>
      </c>
      <c r="I130" s="24"/>
      <c r="J130" s="14" t="s">
        <v>610</v>
      </c>
      <c r="K130" s="14" t="s">
        <v>566</v>
      </c>
      <c r="L130" s="25"/>
      <c r="M130" s="26"/>
      <c r="N130" s="21" t="str">
        <f t="shared" ca="1" si="7"/>
        <v/>
      </c>
    </row>
    <row r="131" spans="1:14" ht="34.049999999999997" customHeight="1">
      <c r="A131" s="1" t="s">
        <v>611</v>
      </c>
      <c r="B131" s="1" t="s">
        <v>38</v>
      </c>
      <c r="C131" s="14" t="s">
        <v>612</v>
      </c>
      <c r="D131" s="14" t="s">
        <v>613</v>
      </c>
      <c r="E131" s="1" t="s">
        <v>583</v>
      </c>
      <c r="F131" s="22" t="s">
        <v>69</v>
      </c>
      <c r="G131" s="23" t="s">
        <v>59</v>
      </c>
      <c r="H131" s="17">
        <f t="shared" si="6"/>
        <v>0</v>
      </c>
      <c r="I131" s="24"/>
      <c r="J131" s="14" t="s">
        <v>614</v>
      </c>
      <c r="K131" s="14" t="s">
        <v>571</v>
      </c>
      <c r="L131" s="25"/>
      <c r="M131" s="26"/>
      <c r="N131" s="21" t="str">
        <f t="shared" ca="1" si="7"/>
        <v/>
      </c>
    </row>
    <row r="132" spans="1:14" ht="34.049999999999997" customHeight="1">
      <c r="A132" s="1" t="s">
        <v>615</v>
      </c>
      <c r="B132" s="1" t="s">
        <v>38</v>
      </c>
      <c r="C132" s="14" t="s">
        <v>616</v>
      </c>
      <c r="D132" s="14" t="s">
        <v>617</v>
      </c>
      <c r="E132" s="1" t="s">
        <v>583</v>
      </c>
      <c r="F132" s="22" t="s">
        <v>58</v>
      </c>
      <c r="G132" s="23" t="s">
        <v>59</v>
      </c>
      <c r="H132" s="17">
        <f t="shared" si="6"/>
        <v>0</v>
      </c>
      <c r="I132" s="24"/>
      <c r="J132" s="14" t="s">
        <v>618</v>
      </c>
      <c r="K132" s="14" t="s">
        <v>619</v>
      </c>
      <c r="L132" s="25"/>
      <c r="M132" s="26"/>
      <c r="N132" s="21" t="str">
        <f t="shared" ca="1" si="7"/>
        <v/>
      </c>
    </row>
    <row r="133" spans="1:14" ht="34.049999999999997" customHeight="1">
      <c r="A133" s="1" t="s">
        <v>620</v>
      </c>
      <c r="B133" s="1" t="s">
        <v>38</v>
      </c>
      <c r="C133" s="14" t="s">
        <v>621</v>
      </c>
      <c r="D133" s="14" t="s">
        <v>622</v>
      </c>
      <c r="E133" s="1" t="s">
        <v>623</v>
      </c>
      <c r="F133" s="22" t="s">
        <v>58</v>
      </c>
      <c r="G133" s="23" t="s">
        <v>59</v>
      </c>
      <c r="H133" s="17">
        <f t="shared" ref="H133:H134" si="8">IF(G133="☑ Hoàn thành",1,IF(G133="◐ Đang làm",0.5,IF(G133="⚠ Bị chặn",0.25,0)))</f>
        <v>0</v>
      </c>
      <c r="I133" s="24"/>
      <c r="J133" s="14" t="s">
        <v>624</v>
      </c>
      <c r="K133" s="14" t="s">
        <v>625</v>
      </c>
      <c r="L133" s="25"/>
      <c r="M133" s="26"/>
      <c r="N133" s="21" t="str">
        <f t="shared" ca="1" si="7"/>
        <v/>
      </c>
    </row>
    <row r="134" spans="1:14" ht="34.049999999999997" customHeight="1">
      <c r="A134" s="1" t="s">
        <v>626</v>
      </c>
      <c r="B134" s="1" t="s">
        <v>38</v>
      </c>
      <c r="C134" s="14" t="s">
        <v>627</v>
      </c>
      <c r="D134" s="14" t="s">
        <v>628</v>
      </c>
      <c r="E134" s="1" t="s">
        <v>583</v>
      </c>
      <c r="F134" s="27" t="s">
        <v>58</v>
      </c>
      <c r="G134" s="28" t="s">
        <v>59</v>
      </c>
      <c r="H134" s="17">
        <f t="shared" si="8"/>
        <v>0</v>
      </c>
      <c r="I134" s="29"/>
      <c r="J134" s="14" t="s">
        <v>629</v>
      </c>
      <c r="K134" s="14" t="s">
        <v>630</v>
      </c>
      <c r="L134" s="30"/>
      <c r="M134" s="31"/>
      <c r="N134" s="21" t="str">
        <f t="shared" ca="1" si="7"/>
        <v/>
      </c>
    </row>
  </sheetData>
  <mergeCells count="2">
    <mergeCell ref="A1:N2"/>
    <mergeCell ref="A3:N3"/>
  </mergeCells>
  <conditionalFormatting sqref="F5:F134">
    <cfRule type="containsText" dxfId="11" priority="5" operator="containsText" text="Cao"/>
  </conditionalFormatting>
  <conditionalFormatting sqref="G5:G134">
    <cfRule type="containsText" dxfId="10" priority="1" operator="containsText" text="☑ Hoàn thành"/>
    <cfRule type="containsText" dxfId="9" priority="2" operator="containsText" text="◐ Đang làm"/>
    <cfRule type="containsText" dxfId="8" priority="3" operator="containsText" text="⚠ Bị chặn"/>
    <cfRule type="containsText" dxfId="7" priority="4" operator="containsText" text="— Không áp dụng"/>
  </conditionalFormatting>
  <conditionalFormatting sqref="H5:H134">
    <cfRule type="dataBar" priority="6">
      <dataBar>
        <cfvo type="min"/>
        <cfvo type="max"/>
        <color rgb="FF2F75B5"/>
      </dataBar>
    </cfRule>
    <cfRule type="dataBar" priority="8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{5EF7754F-18EC-4711-588E-B900EB03B79A}</x14:id>
        </ext>
      </extLst>
    </cfRule>
  </conditionalFormatting>
  <conditionalFormatting sqref="N5:N134">
    <cfRule type="cellIs" dxfId="6" priority="7" operator="greaterThan">
      <formula>0</formula>
    </cfRule>
  </conditionalFormatting>
  <dataValidations count="2">
    <dataValidation type="list" sqref="F5:F134" xr:uid="{00000000-0002-0000-0100-000000000000}">
      <formula1>"Cao,Trung bình,Thấp"</formula1>
    </dataValidation>
    <dataValidation type="list" sqref="G5:G134" xr:uid="{00000000-0002-0000-0100-000001000000}">
      <formula1>"☐ Chưa bắt đầu,◐ Đang làm,⚠ Bị chặn,☑ Hoàn thành,— Không áp dụng"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F7754F-18EC-4711-588E-B900EB03B79A}">
            <x14:dataBar>
              <x14:cfvo type="min"/>
              <x14:cfvo type="max"/>
              <x14:negativeFillColor auto="1"/>
              <x14:axisColor auto="1"/>
            </x14:dataBar>
          </x14:cfRule>
          <xm:sqref>H5:H134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selection activeCell="E12" sqref="E12"/>
    </sheetView>
  </sheetViews>
  <sheetFormatPr defaultRowHeight="13.8"/>
  <cols>
    <col min="1" max="1" width="10" customWidth="1"/>
    <col min="2" max="2" width="9" customWidth="1"/>
    <col min="3" max="3" width="45" customWidth="1"/>
    <col min="4" max="4" width="30" customWidth="1"/>
    <col min="5" max="5" width="19" customWidth="1"/>
    <col min="6" max="6" width="14" customWidth="1"/>
    <col min="7" max="7" width="26" customWidth="1"/>
  </cols>
  <sheetData>
    <row r="1" spans="1:7" ht="30" customHeight="1">
      <c r="A1" s="52" t="s">
        <v>631</v>
      </c>
      <c r="B1" s="52" t="s">
        <v>631</v>
      </c>
      <c r="C1" s="52" t="s">
        <v>631</v>
      </c>
      <c r="D1" s="52" t="s">
        <v>631</v>
      </c>
      <c r="E1" s="52" t="s">
        <v>631</v>
      </c>
      <c r="F1" s="52" t="s">
        <v>631</v>
      </c>
      <c r="G1" s="52" t="s">
        <v>631</v>
      </c>
    </row>
    <row r="2" spans="1:7" ht="30" customHeight="1">
      <c r="A2" s="52" t="s">
        <v>631</v>
      </c>
      <c r="B2" s="52" t="s">
        <v>631</v>
      </c>
      <c r="C2" s="52" t="s">
        <v>631</v>
      </c>
      <c r="D2" s="52" t="s">
        <v>631</v>
      </c>
      <c r="E2" s="52" t="s">
        <v>631</v>
      </c>
      <c r="F2" s="52" t="s">
        <v>631</v>
      </c>
      <c r="G2" s="52" t="s">
        <v>631</v>
      </c>
    </row>
    <row r="3" spans="1:7" ht="14.4">
      <c r="A3" s="64" t="s">
        <v>632</v>
      </c>
      <c r="B3" s="64" t="s">
        <v>632</v>
      </c>
      <c r="C3" s="64" t="s">
        <v>632</v>
      </c>
      <c r="D3" s="64" t="s">
        <v>632</v>
      </c>
      <c r="E3" s="64" t="s">
        <v>632</v>
      </c>
      <c r="F3" s="64" t="s">
        <v>632</v>
      </c>
      <c r="G3" s="64" t="s">
        <v>632</v>
      </c>
    </row>
    <row r="4" spans="1:7">
      <c r="A4" s="46" t="s">
        <v>633</v>
      </c>
      <c r="B4" s="46" t="s">
        <v>44</v>
      </c>
      <c r="C4" s="46" t="s">
        <v>634</v>
      </c>
      <c r="D4" s="46" t="s">
        <v>635</v>
      </c>
      <c r="E4" s="46" t="s">
        <v>46</v>
      </c>
      <c r="F4" s="46" t="s">
        <v>636</v>
      </c>
      <c r="G4" s="46" t="s">
        <v>637</v>
      </c>
    </row>
    <row r="5" spans="1:7" ht="37.950000000000003" customHeight="1">
      <c r="A5" s="1" t="s">
        <v>638</v>
      </c>
      <c r="B5" s="47" t="s">
        <v>96</v>
      </c>
      <c r="C5" s="48" t="s">
        <v>639</v>
      </c>
      <c r="D5" s="48" t="s">
        <v>640</v>
      </c>
      <c r="E5" s="15" t="s">
        <v>641</v>
      </c>
      <c r="F5" s="49"/>
      <c r="G5" s="48" t="s">
        <v>642</v>
      </c>
    </row>
    <row r="6" spans="1:7" ht="37.950000000000003" customHeight="1">
      <c r="A6" s="1" t="s">
        <v>643</v>
      </c>
      <c r="B6" s="47" t="s">
        <v>96</v>
      </c>
      <c r="C6" s="48" t="s">
        <v>644</v>
      </c>
      <c r="D6" s="48" t="s">
        <v>645</v>
      </c>
      <c r="E6" s="22" t="s">
        <v>641</v>
      </c>
      <c r="F6" s="50"/>
      <c r="G6" s="48" t="s">
        <v>646</v>
      </c>
    </row>
    <row r="7" spans="1:7" ht="37.950000000000003" customHeight="1">
      <c r="A7" s="1" t="s">
        <v>647</v>
      </c>
      <c r="B7" s="47" t="s">
        <v>151</v>
      </c>
      <c r="C7" s="48" t="s">
        <v>648</v>
      </c>
      <c r="D7" s="48" t="s">
        <v>649</v>
      </c>
      <c r="E7" s="22" t="s">
        <v>641</v>
      </c>
      <c r="F7" s="50"/>
      <c r="G7" s="48" t="s">
        <v>650</v>
      </c>
    </row>
    <row r="8" spans="1:7" ht="37.950000000000003" customHeight="1">
      <c r="A8" s="1" t="s">
        <v>651</v>
      </c>
      <c r="B8" s="47" t="s">
        <v>151</v>
      </c>
      <c r="C8" s="48" t="s">
        <v>652</v>
      </c>
      <c r="D8" s="48" t="s">
        <v>653</v>
      </c>
      <c r="E8" s="22" t="s">
        <v>641</v>
      </c>
      <c r="F8" s="50"/>
      <c r="G8" s="48" t="s">
        <v>654</v>
      </c>
    </row>
    <row r="9" spans="1:7" ht="37.950000000000003" customHeight="1">
      <c r="A9" s="1" t="s">
        <v>655</v>
      </c>
      <c r="B9" s="47" t="s">
        <v>383</v>
      </c>
      <c r="C9" s="48" t="s">
        <v>656</v>
      </c>
      <c r="D9" s="48" t="s">
        <v>657</v>
      </c>
      <c r="E9" s="22" t="s">
        <v>641</v>
      </c>
      <c r="F9" s="50"/>
      <c r="G9" s="48" t="s">
        <v>658</v>
      </c>
    </row>
    <row r="10" spans="1:7" ht="37.950000000000003" customHeight="1">
      <c r="A10" s="1" t="s">
        <v>659</v>
      </c>
      <c r="B10" s="47" t="s">
        <v>383</v>
      </c>
      <c r="C10" s="48" t="s">
        <v>660</v>
      </c>
      <c r="D10" s="48" t="s">
        <v>661</v>
      </c>
      <c r="E10" s="22" t="s">
        <v>641</v>
      </c>
      <c r="F10" s="50"/>
      <c r="G10" s="48" t="s">
        <v>662</v>
      </c>
    </row>
    <row r="11" spans="1:7" ht="37.950000000000003" customHeight="1">
      <c r="A11" s="1" t="s">
        <v>663</v>
      </c>
      <c r="B11" s="47" t="s">
        <v>383</v>
      </c>
      <c r="C11" s="48" t="s">
        <v>664</v>
      </c>
      <c r="D11" s="48" t="s">
        <v>665</v>
      </c>
      <c r="E11" s="22" t="s">
        <v>641</v>
      </c>
      <c r="F11" s="50"/>
      <c r="G11" s="48" t="s">
        <v>666</v>
      </c>
    </row>
    <row r="12" spans="1:7" ht="37.950000000000003" customHeight="1">
      <c r="A12" s="1" t="s">
        <v>667</v>
      </c>
      <c r="B12" s="47" t="s">
        <v>472</v>
      </c>
      <c r="C12" s="48" t="s">
        <v>668</v>
      </c>
      <c r="D12" s="48" t="s">
        <v>669</v>
      </c>
      <c r="E12" s="22" t="s">
        <v>641</v>
      </c>
      <c r="F12" s="50"/>
      <c r="G12" s="48" t="s">
        <v>670</v>
      </c>
    </row>
    <row r="13" spans="1:7" ht="37.950000000000003" customHeight="1">
      <c r="A13" s="1" t="s">
        <v>671</v>
      </c>
      <c r="B13" s="47" t="s">
        <v>543</v>
      </c>
      <c r="C13" s="48" t="s">
        <v>672</v>
      </c>
      <c r="D13" s="48" t="s">
        <v>673</v>
      </c>
      <c r="E13" s="22" t="s">
        <v>641</v>
      </c>
      <c r="F13" s="50"/>
      <c r="G13" s="48" t="s">
        <v>674</v>
      </c>
    </row>
    <row r="14" spans="1:7" ht="37.950000000000003" customHeight="1">
      <c r="A14" s="1" t="s">
        <v>675</v>
      </c>
      <c r="B14" s="47" t="s">
        <v>563</v>
      </c>
      <c r="C14" s="48" t="s">
        <v>676</v>
      </c>
      <c r="D14" s="48" t="s">
        <v>677</v>
      </c>
      <c r="E14" s="22" t="s">
        <v>641</v>
      </c>
      <c r="F14" s="50"/>
      <c r="G14" s="48" t="s">
        <v>678</v>
      </c>
    </row>
    <row r="15" spans="1:7" ht="37.950000000000003" customHeight="1">
      <c r="A15" s="1" t="s">
        <v>679</v>
      </c>
      <c r="B15" s="47" t="s">
        <v>583</v>
      </c>
      <c r="C15" s="48" t="s">
        <v>680</v>
      </c>
      <c r="D15" s="48" t="s">
        <v>681</v>
      </c>
      <c r="E15" s="27" t="s">
        <v>641</v>
      </c>
      <c r="F15" s="51"/>
      <c r="G15" s="48" t="s">
        <v>682</v>
      </c>
    </row>
  </sheetData>
  <mergeCells count="2">
    <mergeCell ref="A1:G2"/>
    <mergeCell ref="A3:G3"/>
  </mergeCells>
  <conditionalFormatting sqref="E5:E15">
    <cfRule type="containsText" dxfId="5" priority="1" operator="containsText" text="☑ Đã đạt"/>
    <cfRule type="containsText" dxfId="4" priority="2" operator="containsText" text="⚠ Bị chặn"/>
  </conditionalFormatting>
  <dataValidations count="1">
    <dataValidation type="list" sqref="E5:E15" xr:uid="{00000000-0002-0000-0200-000000000000}">
      <formula1>"☐ Chưa đạt,◐ Đang kiểm tra,⚠ Bị chặn,☑ Đã đạt"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showGridLines="0" topLeftCell="A20" workbookViewId="0">
      <selection sqref="A1:I2"/>
    </sheetView>
  </sheetViews>
  <sheetFormatPr defaultRowHeight="13.8"/>
  <cols>
    <col min="1" max="1" width="7" customWidth="1"/>
    <col min="2" max="2" width="13" customWidth="1"/>
    <col min="3" max="3" width="11" customWidth="1"/>
    <col min="4" max="4" width="17" customWidth="1"/>
    <col min="5" max="5" width="30" customWidth="1"/>
    <col min="6" max="6" width="34" customWidth="1"/>
    <col min="7" max="7" width="38" customWidth="1"/>
    <col min="8" max="8" width="17" customWidth="1"/>
    <col min="9" max="9" width="28" customWidth="1"/>
  </cols>
  <sheetData>
    <row r="1" spans="1:9" ht="30" customHeight="1">
      <c r="A1" s="52" t="s">
        <v>683</v>
      </c>
      <c r="B1" s="52" t="s">
        <v>683</v>
      </c>
      <c r="C1" s="52" t="s">
        <v>683</v>
      </c>
      <c r="D1" s="52" t="s">
        <v>683</v>
      </c>
      <c r="E1" s="52" t="s">
        <v>683</v>
      </c>
      <c r="F1" s="52" t="s">
        <v>683</v>
      </c>
      <c r="G1" s="52" t="s">
        <v>683</v>
      </c>
      <c r="H1" s="52" t="s">
        <v>683</v>
      </c>
      <c r="I1" s="52" t="s">
        <v>683</v>
      </c>
    </row>
    <row r="2" spans="1:9" ht="30" customHeight="1">
      <c r="A2" s="52" t="s">
        <v>683</v>
      </c>
      <c r="B2" s="52" t="s">
        <v>683</v>
      </c>
      <c r="C2" s="52" t="s">
        <v>683</v>
      </c>
      <c r="D2" s="52" t="s">
        <v>683</v>
      </c>
      <c r="E2" s="52" t="s">
        <v>683</v>
      </c>
      <c r="F2" s="52" t="s">
        <v>683</v>
      </c>
      <c r="G2" s="52" t="s">
        <v>683</v>
      </c>
      <c r="H2" s="52" t="s">
        <v>683</v>
      </c>
      <c r="I2" s="52" t="s">
        <v>683</v>
      </c>
    </row>
    <row r="3" spans="1:9" ht="14.4">
      <c r="A3" s="65" t="s">
        <v>684</v>
      </c>
      <c r="B3" s="65" t="s">
        <v>684</v>
      </c>
      <c r="C3" s="65" t="s">
        <v>684</v>
      </c>
      <c r="D3" s="65" t="s">
        <v>684</v>
      </c>
      <c r="E3" s="65" t="s">
        <v>684</v>
      </c>
      <c r="F3" s="65" t="s">
        <v>684</v>
      </c>
      <c r="G3" s="65" t="s">
        <v>684</v>
      </c>
      <c r="H3" s="65" t="s">
        <v>684</v>
      </c>
      <c r="I3" s="65" t="s">
        <v>684</v>
      </c>
    </row>
    <row r="4" spans="1:9">
      <c r="A4" s="46" t="s">
        <v>685</v>
      </c>
      <c r="B4" s="46" t="s">
        <v>686</v>
      </c>
      <c r="C4" s="46" t="s">
        <v>687</v>
      </c>
      <c r="D4" s="46" t="s">
        <v>688</v>
      </c>
      <c r="E4" s="46" t="s">
        <v>689</v>
      </c>
      <c r="F4" s="46" t="s">
        <v>690</v>
      </c>
      <c r="G4" s="46" t="s">
        <v>691</v>
      </c>
      <c r="H4" s="46" t="s">
        <v>692</v>
      </c>
      <c r="I4" s="46" t="s">
        <v>52</v>
      </c>
    </row>
    <row r="5" spans="1:9" ht="30" customHeight="1">
      <c r="A5" s="32">
        <v>1</v>
      </c>
      <c r="B5" s="34"/>
      <c r="C5" s="35" t="s">
        <v>693</v>
      </c>
      <c r="D5" s="35" t="s">
        <v>694</v>
      </c>
      <c r="E5" s="35" t="s">
        <v>695</v>
      </c>
      <c r="F5" s="35" t="s">
        <v>696</v>
      </c>
      <c r="G5" s="35" t="s">
        <v>697</v>
      </c>
      <c r="H5" s="35" t="s">
        <v>698</v>
      </c>
      <c r="I5" s="36" t="s">
        <v>699</v>
      </c>
    </row>
    <row r="6" spans="1:9" ht="30" customHeight="1">
      <c r="A6" s="32" t="str">
        <f t="shared" ref="A6:A37" si="0">IF(E6="","",ROW()-4)</f>
        <v/>
      </c>
      <c r="B6" s="37"/>
      <c r="C6" s="38"/>
      <c r="D6" s="38"/>
      <c r="E6" s="38"/>
      <c r="F6" s="38"/>
      <c r="G6" s="38"/>
      <c r="H6" s="38" t="s">
        <v>698</v>
      </c>
      <c r="I6" s="39"/>
    </row>
    <row r="7" spans="1:9" ht="30" customHeight="1">
      <c r="A7" s="32" t="str">
        <f t="shared" si="0"/>
        <v/>
      </c>
      <c r="B7" s="37"/>
      <c r="C7" s="38"/>
      <c r="D7" s="38"/>
      <c r="E7" s="38"/>
      <c r="F7" s="38"/>
      <c r="G7" s="38"/>
      <c r="H7" s="38" t="s">
        <v>698</v>
      </c>
      <c r="I7" s="39"/>
    </row>
    <row r="8" spans="1:9" ht="30" customHeight="1">
      <c r="A8" s="32" t="str">
        <f t="shared" si="0"/>
        <v/>
      </c>
      <c r="B8" s="37"/>
      <c r="C8" s="38"/>
      <c r="D8" s="38"/>
      <c r="E8" s="38"/>
      <c r="F8" s="38"/>
      <c r="G8" s="38"/>
      <c r="H8" s="38" t="s">
        <v>698</v>
      </c>
      <c r="I8" s="39"/>
    </row>
    <row r="9" spans="1:9" ht="30" customHeight="1">
      <c r="A9" s="32" t="str">
        <f t="shared" si="0"/>
        <v/>
      </c>
      <c r="B9" s="37"/>
      <c r="C9" s="38"/>
      <c r="D9" s="38"/>
      <c r="E9" s="38"/>
      <c r="F9" s="38"/>
      <c r="G9" s="38"/>
      <c r="H9" s="38" t="s">
        <v>698</v>
      </c>
      <c r="I9" s="39"/>
    </row>
    <row r="10" spans="1:9" ht="30" customHeight="1">
      <c r="A10" s="32" t="str">
        <f t="shared" si="0"/>
        <v/>
      </c>
      <c r="B10" s="37"/>
      <c r="C10" s="38"/>
      <c r="D10" s="38"/>
      <c r="E10" s="38"/>
      <c r="F10" s="38"/>
      <c r="G10" s="38"/>
      <c r="H10" s="38" t="s">
        <v>698</v>
      </c>
      <c r="I10" s="39"/>
    </row>
    <row r="11" spans="1:9" ht="30" customHeight="1">
      <c r="A11" s="32" t="str">
        <f t="shared" si="0"/>
        <v/>
      </c>
      <c r="B11" s="37"/>
      <c r="C11" s="38"/>
      <c r="D11" s="38"/>
      <c r="E11" s="38"/>
      <c r="F11" s="38"/>
      <c r="G11" s="38"/>
      <c r="H11" s="38" t="s">
        <v>698</v>
      </c>
      <c r="I11" s="39"/>
    </row>
    <row r="12" spans="1:9" ht="30" customHeight="1">
      <c r="A12" s="32" t="str">
        <f t="shared" si="0"/>
        <v/>
      </c>
      <c r="B12" s="37"/>
      <c r="C12" s="38"/>
      <c r="D12" s="38"/>
      <c r="E12" s="38"/>
      <c r="F12" s="38"/>
      <c r="G12" s="38"/>
      <c r="H12" s="38" t="s">
        <v>698</v>
      </c>
      <c r="I12" s="39"/>
    </row>
    <row r="13" spans="1:9" ht="30" customHeight="1">
      <c r="A13" s="32" t="str">
        <f t="shared" si="0"/>
        <v/>
      </c>
      <c r="B13" s="37"/>
      <c r="C13" s="38"/>
      <c r="D13" s="38"/>
      <c r="E13" s="38"/>
      <c r="F13" s="38"/>
      <c r="G13" s="38"/>
      <c r="H13" s="38" t="s">
        <v>698</v>
      </c>
      <c r="I13" s="39"/>
    </row>
    <row r="14" spans="1:9" ht="30" customHeight="1">
      <c r="A14" s="32" t="str">
        <f t="shared" si="0"/>
        <v/>
      </c>
      <c r="B14" s="37"/>
      <c r="C14" s="38"/>
      <c r="D14" s="38"/>
      <c r="E14" s="38"/>
      <c r="F14" s="38"/>
      <c r="G14" s="38"/>
      <c r="H14" s="38" t="s">
        <v>698</v>
      </c>
      <c r="I14" s="39"/>
    </row>
    <row r="15" spans="1:9" ht="30" customHeight="1">
      <c r="A15" s="32" t="str">
        <f t="shared" si="0"/>
        <v/>
      </c>
      <c r="B15" s="37"/>
      <c r="C15" s="38"/>
      <c r="D15" s="38"/>
      <c r="E15" s="38"/>
      <c r="F15" s="38"/>
      <c r="G15" s="38"/>
      <c r="H15" s="38" t="s">
        <v>698</v>
      </c>
      <c r="I15" s="39"/>
    </row>
    <row r="16" spans="1:9" ht="30" customHeight="1">
      <c r="A16" s="32" t="str">
        <f t="shared" si="0"/>
        <v/>
      </c>
      <c r="B16" s="37"/>
      <c r="C16" s="38"/>
      <c r="D16" s="38"/>
      <c r="E16" s="38"/>
      <c r="F16" s="38"/>
      <c r="G16" s="38"/>
      <c r="H16" s="38" t="s">
        <v>698</v>
      </c>
      <c r="I16" s="39"/>
    </row>
    <row r="17" spans="1:9" ht="30" customHeight="1">
      <c r="A17" s="32" t="str">
        <f t="shared" si="0"/>
        <v/>
      </c>
      <c r="B17" s="37"/>
      <c r="C17" s="38"/>
      <c r="D17" s="38"/>
      <c r="E17" s="38"/>
      <c r="F17" s="38"/>
      <c r="G17" s="38"/>
      <c r="H17" s="38" t="s">
        <v>698</v>
      </c>
      <c r="I17" s="39"/>
    </row>
    <row r="18" spans="1:9" ht="30" customHeight="1">
      <c r="A18" s="32" t="str">
        <f t="shared" si="0"/>
        <v/>
      </c>
      <c r="B18" s="37"/>
      <c r="C18" s="38"/>
      <c r="D18" s="38"/>
      <c r="E18" s="38"/>
      <c r="F18" s="38"/>
      <c r="G18" s="38"/>
      <c r="H18" s="38" t="s">
        <v>698</v>
      </c>
      <c r="I18" s="39"/>
    </row>
    <row r="19" spans="1:9" ht="30" customHeight="1">
      <c r="A19" s="32" t="str">
        <f t="shared" si="0"/>
        <v/>
      </c>
      <c r="B19" s="37"/>
      <c r="C19" s="38"/>
      <c r="D19" s="38"/>
      <c r="E19" s="38"/>
      <c r="F19" s="38"/>
      <c r="G19" s="38"/>
      <c r="H19" s="38" t="s">
        <v>698</v>
      </c>
      <c r="I19" s="39"/>
    </row>
    <row r="20" spans="1:9" ht="30" customHeight="1">
      <c r="A20" s="32" t="str">
        <f t="shared" si="0"/>
        <v/>
      </c>
      <c r="B20" s="37"/>
      <c r="C20" s="38"/>
      <c r="D20" s="38"/>
      <c r="E20" s="38"/>
      <c r="F20" s="38"/>
      <c r="G20" s="38"/>
      <c r="H20" s="38" t="s">
        <v>698</v>
      </c>
      <c r="I20" s="39"/>
    </row>
    <row r="21" spans="1:9" ht="30" customHeight="1">
      <c r="A21" s="32" t="str">
        <f t="shared" si="0"/>
        <v/>
      </c>
      <c r="B21" s="37"/>
      <c r="C21" s="38"/>
      <c r="D21" s="38"/>
      <c r="E21" s="38"/>
      <c r="F21" s="38"/>
      <c r="G21" s="38"/>
      <c r="H21" s="38" t="s">
        <v>698</v>
      </c>
      <c r="I21" s="39"/>
    </row>
    <row r="22" spans="1:9" ht="30" customHeight="1">
      <c r="A22" s="32" t="str">
        <f t="shared" si="0"/>
        <v/>
      </c>
      <c r="B22" s="37"/>
      <c r="C22" s="38"/>
      <c r="D22" s="38"/>
      <c r="E22" s="38"/>
      <c r="F22" s="38"/>
      <c r="G22" s="38"/>
      <c r="H22" s="38" t="s">
        <v>698</v>
      </c>
      <c r="I22" s="39"/>
    </row>
    <row r="23" spans="1:9" ht="30" customHeight="1">
      <c r="A23" s="32" t="str">
        <f t="shared" si="0"/>
        <v/>
      </c>
      <c r="B23" s="37"/>
      <c r="C23" s="38"/>
      <c r="D23" s="38"/>
      <c r="E23" s="38"/>
      <c r="F23" s="38"/>
      <c r="G23" s="38"/>
      <c r="H23" s="38" t="s">
        <v>698</v>
      </c>
      <c r="I23" s="39"/>
    </row>
    <row r="24" spans="1:9" ht="30" customHeight="1">
      <c r="A24" s="32" t="str">
        <f t="shared" si="0"/>
        <v/>
      </c>
      <c r="B24" s="37"/>
      <c r="C24" s="38"/>
      <c r="D24" s="38"/>
      <c r="E24" s="38"/>
      <c r="F24" s="38"/>
      <c r="G24" s="38"/>
      <c r="H24" s="38" t="s">
        <v>698</v>
      </c>
      <c r="I24" s="39"/>
    </row>
    <row r="25" spans="1:9" ht="30" customHeight="1">
      <c r="A25" s="32" t="str">
        <f t="shared" si="0"/>
        <v/>
      </c>
      <c r="B25" s="37"/>
      <c r="C25" s="38"/>
      <c r="D25" s="38"/>
      <c r="E25" s="38"/>
      <c r="F25" s="38"/>
      <c r="G25" s="38"/>
      <c r="H25" s="38" t="s">
        <v>698</v>
      </c>
      <c r="I25" s="39"/>
    </row>
    <row r="26" spans="1:9" ht="30" customHeight="1">
      <c r="A26" s="32" t="str">
        <f t="shared" si="0"/>
        <v/>
      </c>
      <c r="B26" s="37"/>
      <c r="C26" s="38"/>
      <c r="D26" s="38"/>
      <c r="E26" s="38"/>
      <c r="F26" s="38"/>
      <c r="G26" s="38"/>
      <c r="H26" s="38" t="s">
        <v>698</v>
      </c>
      <c r="I26" s="39"/>
    </row>
    <row r="27" spans="1:9" ht="30" customHeight="1">
      <c r="A27" s="32" t="str">
        <f t="shared" si="0"/>
        <v/>
      </c>
      <c r="B27" s="37"/>
      <c r="C27" s="38"/>
      <c r="D27" s="38"/>
      <c r="E27" s="38"/>
      <c r="F27" s="38"/>
      <c r="G27" s="38"/>
      <c r="H27" s="38" t="s">
        <v>698</v>
      </c>
      <c r="I27" s="39"/>
    </row>
    <row r="28" spans="1:9" ht="30" customHeight="1">
      <c r="A28" s="32" t="str">
        <f t="shared" si="0"/>
        <v/>
      </c>
      <c r="B28" s="37"/>
      <c r="C28" s="38"/>
      <c r="D28" s="38"/>
      <c r="E28" s="38"/>
      <c r="F28" s="38"/>
      <c r="G28" s="38"/>
      <c r="H28" s="38" t="s">
        <v>698</v>
      </c>
      <c r="I28" s="39"/>
    </row>
    <row r="29" spans="1:9" ht="30" customHeight="1">
      <c r="A29" s="32" t="str">
        <f t="shared" si="0"/>
        <v/>
      </c>
      <c r="B29" s="37"/>
      <c r="C29" s="38"/>
      <c r="D29" s="38"/>
      <c r="E29" s="38"/>
      <c r="F29" s="38"/>
      <c r="G29" s="38"/>
      <c r="H29" s="38" t="s">
        <v>698</v>
      </c>
      <c r="I29" s="39"/>
    </row>
    <row r="30" spans="1:9" ht="30" customHeight="1">
      <c r="A30" s="32" t="str">
        <f t="shared" si="0"/>
        <v/>
      </c>
      <c r="B30" s="37"/>
      <c r="C30" s="38"/>
      <c r="D30" s="38"/>
      <c r="E30" s="38"/>
      <c r="F30" s="38"/>
      <c r="G30" s="38"/>
      <c r="H30" s="38" t="s">
        <v>698</v>
      </c>
      <c r="I30" s="39"/>
    </row>
    <row r="31" spans="1:9" ht="30" customHeight="1">
      <c r="A31" s="32" t="str">
        <f t="shared" si="0"/>
        <v/>
      </c>
      <c r="B31" s="37"/>
      <c r="C31" s="38"/>
      <c r="D31" s="38"/>
      <c r="E31" s="38"/>
      <c r="F31" s="38"/>
      <c r="G31" s="38"/>
      <c r="H31" s="38" t="s">
        <v>698</v>
      </c>
      <c r="I31" s="39"/>
    </row>
    <row r="32" spans="1:9" ht="30" customHeight="1">
      <c r="A32" s="32" t="str">
        <f t="shared" si="0"/>
        <v/>
      </c>
      <c r="B32" s="37"/>
      <c r="C32" s="38"/>
      <c r="D32" s="38"/>
      <c r="E32" s="38"/>
      <c r="F32" s="38"/>
      <c r="G32" s="38"/>
      <c r="H32" s="38" t="s">
        <v>698</v>
      </c>
      <c r="I32" s="39"/>
    </row>
    <row r="33" spans="1:9" ht="30" customHeight="1">
      <c r="A33" s="32" t="str">
        <f t="shared" si="0"/>
        <v/>
      </c>
      <c r="B33" s="37"/>
      <c r="C33" s="38"/>
      <c r="D33" s="38"/>
      <c r="E33" s="38"/>
      <c r="F33" s="38"/>
      <c r="G33" s="38"/>
      <c r="H33" s="38" t="s">
        <v>698</v>
      </c>
      <c r="I33" s="39"/>
    </row>
    <row r="34" spans="1:9" ht="30" customHeight="1">
      <c r="A34" s="32" t="str">
        <f t="shared" si="0"/>
        <v/>
      </c>
      <c r="B34" s="37"/>
      <c r="C34" s="38"/>
      <c r="D34" s="38"/>
      <c r="E34" s="38"/>
      <c r="F34" s="38"/>
      <c r="G34" s="38"/>
      <c r="H34" s="38" t="s">
        <v>698</v>
      </c>
      <c r="I34" s="39"/>
    </row>
    <row r="35" spans="1:9" ht="30" customHeight="1">
      <c r="A35" s="32" t="str">
        <f t="shared" si="0"/>
        <v/>
      </c>
      <c r="B35" s="37"/>
      <c r="C35" s="38"/>
      <c r="D35" s="38"/>
      <c r="E35" s="38"/>
      <c r="F35" s="38"/>
      <c r="G35" s="38"/>
      <c r="H35" s="38" t="s">
        <v>698</v>
      </c>
      <c r="I35" s="39"/>
    </row>
    <row r="36" spans="1:9" ht="30" customHeight="1">
      <c r="A36" s="32" t="str">
        <f t="shared" si="0"/>
        <v/>
      </c>
      <c r="B36" s="37"/>
      <c r="C36" s="38"/>
      <c r="D36" s="38"/>
      <c r="E36" s="38"/>
      <c r="F36" s="38"/>
      <c r="G36" s="38"/>
      <c r="H36" s="38" t="s">
        <v>698</v>
      </c>
      <c r="I36" s="39"/>
    </row>
    <row r="37" spans="1:9" ht="30" customHeight="1">
      <c r="A37" s="32" t="str">
        <f t="shared" si="0"/>
        <v/>
      </c>
      <c r="B37" s="37"/>
      <c r="C37" s="38"/>
      <c r="D37" s="38"/>
      <c r="E37" s="38"/>
      <c r="F37" s="38"/>
      <c r="G37" s="38"/>
      <c r="H37" s="38" t="s">
        <v>698</v>
      </c>
      <c r="I37" s="39"/>
    </row>
    <row r="38" spans="1:9" ht="30" customHeight="1">
      <c r="A38" s="32" t="str">
        <f t="shared" ref="A38:A64" si="1">IF(E38="","",ROW()-4)</f>
        <v/>
      </c>
      <c r="B38" s="37"/>
      <c r="C38" s="38"/>
      <c r="D38" s="38"/>
      <c r="E38" s="38"/>
      <c r="F38" s="38"/>
      <c r="G38" s="38"/>
      <c r="H38" s="38" t="s">
        <v>698</v>
      </c>
      <c r="I38" s="39"/>
    </row>
    <row r="39" spans="1:9" ht="30" customHeight="1">
      <c r="A39" s="32" t="str">
        <f t="shared" si="1"/>
        <v/>
      </c>
      <c r="B39" s="37"/>
      <c r="C39" s="38"/>
      <c r="D39" s="38"/>
      <c r="E39" s="38"/>
      <c r="F39" s="38"/>
      <c r="G39" s="38"/>
      <c r="H39" s="38" t="s">
        <v>698</v>
      </c>
      <c r="I39" s="39"/>
    </row>
    <row r="40" spans="1:9" ht="30" customHeight="1">
      <c r="A40" s="32" t="str">
        <f t="shared" si="1"/>
        <v/>
      </c>
      <c r="B40" s="37"/>
      <c r="C40" s="38"/>
      <c r="D40" s="38"/>
      <c r="E40" s="38"/>
      <c r="F40" s="38"/>
      <c r="G40" s="38"/>
      <c r="H40" s="38" t="s">
        <v>698</v>
      </c>
      <c r="I40" s="39"/>
    </row>
    <row r="41" spans="1:9" ht="30" customHeight="1">
      <c r="A41" s="32" t="str">
        <f t="shared" si="1"/>
        <v/>
      </c>
      <c r="B41" s="37"/>
      <c r="C41" s="38"/>
      <c r="D41" s="38"/>
      <c r="E41" s="38"/>
      <c r="F41" s="38"/>
      <c r="G41" s="38"/>
      <c r="H41" s="38" t="s">
        <v>698</v>
      </c>
      <c r="I41" s="39"/>
    </row>
    <row r="42" spans="1:9" ht="30" customHeight="1">
      <c r="A42" s="32" t="str">
        <f t="shared" si="1"/>
        <v/>
      </c>
      <c r="B42" s="37"/>
      <c r="C42" s="38"/>
      <c r="D42" s="38"/>
      <c r="E42" s="38"/>
      <c r="F42" s="38"/>
      <c r="G42" s="38"/>
      <c r="H42" s="38" t="s">
        <v>698</v>
      </c>
      <c r="I42" s="39"/>
    </row>
    <row r="43" spans="1:9" ht="30" customHeight="1">
      <c r="A43" s="32" t="str">
        <f t="shared" si="1"/>
        <v/>
      </c>
      <c r="B43" s="37"/>
      <c r="C43" s="38"/>
      <c r="D43" s="38"/>
      <c r="E43" s="38"/>
      <c r="F43" s="38"/>
      <c r="G43" s="38"/>
      <c r="H43" s="38" t="s">
        <v>698</v>
      </c>
      <c r="I43" s="39"/>
    </row>
    <row r="44" spans="1:9" ht="30" customHeight="1">
      <c r="A44" s="32" t="str">
        <f t="shared" si="1"/>
        <v/>
      </c>
      <c r="B44" s="37"/>
      <c r="C44" s="38"/>
      <c r="D44" s="38"/>
      <c r="E44" s="38"/>
      <c r="F44" s="38"/>
      <c r="G44" s="38"/>
      <c r="H44" s="38" t="s">
        <v>698</v>
      </c>
      <c r="I44" s="39"/>
    </row>
    <row r="45" spans="1:9" ht="30" customHeight="1">
      <c r="A45" s="32" t="str">
        <f t="shared" si="1"/>
        <v/>
      </c>
      <c r="B45" s="37"/>
      <c r="C45" s="38"/>
      <c r="D45" s="38"/>
      <c r="E45" s="38"/>
      <c r="F45" s="38"/>
      <c r="G45" s="38"/>
      <c r="H45" s="38" t="s">
        <v>698</v>
      </c>
      <c r="I45" s="39"/>
    </row>
    <row r="46" spans="1:9" ht="30" customHeight="1">
      <c r="A46" s="32" t="str">
        <f t="shared" si="1"/>
        <v/>
      </c>
      <c r="B46" s="37"/>
      <c r="C46" s="38"/>
      <c r="D46" s="38"/>
      <c r="E46" s="38"/>
      <c r="F46" s="38"/>
      <c r="G46" s="38"/>
      <c r="H46" s="38" t="s">
        <v>698</v>
      </c>
      <c r="I46" s="39"/>
    </row>
    <row r="47" spans="1:9" ht="30" customHeight="1">
      <c r="A47" s="32" t="str">
        <f t="shared" si="1"/>
        <v/>
      </c>
      <c r="B47" s="37"/>
      <c r="C47" s="38"/>
      <c r="D47" s="38"/>
      <c r="E47" s="38"/>
      <c r="F47" s="38"/>
      <c r="G47" s="38"/>
      <c r="H47" s="38" t="s">
        <v>698</v>
      </c>
      <c r="I47" s="39"/>
    </row>
    <row r="48" spans="1:9" ht="30" customHeight="1">
      <c r="A48" s="32" t="str">
        <f t="shared" si="1"/>
        <v/>
      </c>
      <c r="B48" s="37"/>
      <c r="C48" s="38"/>
      <c r="D48" s="38"/>
      <c r="E48" s="38"/>
      <c r="F48" s="38"/>
      <c r="G48" s="38"/>
      <c r="H48" s="38" t="s">
        <v>698</v>
      </c>
      <c r="I48" s="39"/>
    </row>
    <row r="49" spans="1:9" ht="30" customHeight="1">
      <c r="A49" s="32" t="str">
        <f t="shared" si="1"/>
        <v/>
      </c>
      <c r="B49" s="37"/>
      <c r="C49" s="38"/>
      <c r="D49" s="38"/>
      <c r="E49" s="38"/>
      <c r="F49" s="38"/>
      <c r="G49" s="38"/>
      <c r="H49" s="38" t="s">
        <v>698</v>
      </c>
      <c r="I49" s="39"/>
    </row>
    <row r="50" spans="1:9" ht="30" customHeight="1">
      <c r="A50" s="32" t="str">
        <f t="shared" si="1"/>
        <v/>
      </c>
      <c r="B50" s="37"/>
      <c r="C50" s="38"/>
      <c r="D50" s="38"/>
      <c r="E50" s="38"/>
      <c r="F50" s="38"/>
      <c r="G50" s="38"/>
      <c r="H50" s="38" t="s">
        <v>698</v>
      </c>
      <c r="I50" s="39"/>
    </row>
    <row r="51" spans="1:9" ht="30" customHeight="1">
      <c r="A51" s="32" t="str">
        <f t="shared" si="1"/>
        <v/>
      </c>
      <c r="B51" s="37"/>
      <c r="C51" s="38"/>
      <c r="D51" s="38"/>
      <c r="E51" s="38"/>
      <c r="F51" s="38"/>
      <c r="G51" s="38"/>
      <c r="H51" s="38" t="s">
        <v>698</v>
      </c>
      <c r="I51" s="39"/>
    </row>
    <row r="52" spans="1:9" ht="30" customHeight="1">
      <c r="A52" s="32" t="str">
        <f t="shared" si="1"/>
        <v/>
      </c>
      <c r="B52" s="37"/>
      <c r="C52" s="38"/>
      <c r="D52" s="38"/>
      <c r="E52" s="38"/>
      <c r="F52" s="38"/>
      <c r="G52" s="38"/>
      <c r="H52" s="38" t="s">
        <v>698</v>
      </c>
      <c r="I52" s="39"/>
    </row>
    <row r="53" spans="1:9" ht="30" customHeight="1">
      <c r="A53" s="32" t="str">
        <f t="shared" si="1"/>
        <v/>
      </c>
      <c r="B53" s="37"/>
      <c r="C53" s="38"/>
      <c r="D53" s="38"/>
      <c r="E53" s="38"/>
      <c r="F53" s="38"/>
      <c r="G53" s="38"/>
      <c r="H53" s="38" t="s">
        <v>698</v>
      </c>
      <c r="I53" s="39"/>
    </row>
    <row r="54" spans="1:9" ht="30" customHeight="1">
      <c r="A54" s="32" t="str">
        <f t="shared" si="1"/>
        <v/>
      </c>
      <c r="B54" s="37"/>
      <c r="C54" s="38"/>
      <c r="D54" s="38"/>
      <c r="E54" s="38"/>
      <c r="F54" s="38"/>
      <c r="G54" s="38"/>
      <c r="H54" s="38" t="s">
        <v>698</v>
      </c>
      <c r="I54" s="39"/>
    </row>
    <row r="55" spans="1:9" ht="30" customHeight="1">
      <c r="A55" s="32" t="str">
        <f t="shared" si="1"/>
        <v/>
      </c>
      <c r="B55" s="37"/>
      <c r="C55" s="38"/>
      <c r="D55" s="38"/>
      <c r="E55" s="38"/>
      <c r="F55" s="38"/>
      <c r="G55" s="38"/>
      <c r="H55" s="38" t="s">
        <v>698</v>
      </c>
      <c r="I55" s="39"/>
    </row>
    <row r="56" spans="1:9" ht="30" customHeight="1">
      <c r="A56" s="32" t="str">
        <f t="shared" si="1"/>
        <v/>
      </c>
      <c r="B56" s="37"/>
      <c r="C56" s="38"/>
      <c r="D56" s="38"/>
      <c r="E56" s="38"/>
      <c r="F56" s="38"/>
      <c r="G56" s="38"/>
      <c r="H56" s="38" t="s">
        <v>698</v>
      </c>
      <c r="I56" s="39"/>
    </row>
    <row r="57" spans="1:9" ht="30" customHeight="1">
      <c r="A57" s="32" t="str">
        <f t="shared" si="1"/>
        <v/>
      </c>
      <c r="B57" s="37"/>
      <c r="C57" s="38"/>
      <c r="D57" s="38"/>
      <c r="E57" s="38"/>
      <c r="F57" s="38"/>
      <c r="G57" s="38"/>
      <c r="H57" s="38" t="s">
        <v>698</v>
      </c>
      <c r="I57" s="39"/>
    </row>
    <row r="58" spans="1:9" ht="30" customHeight="1">
      <c r="A58" s="32" t="str">
        <f t="shared" si="1"/>
        <v/>
      </c>
      <c r="B58" s="37"/>
      <c r="C58" s="38"/>
      <c r="D58" s="38"/>
      <c r="E58" s="38"/>
      <c r="F58" s="38"/>
      <c r="G58" s="38"/>
      <c r="H58" s="38" t="s">
        <v>698</v>
      </c>
      <c r="I58" s="39"/>
    </row>
    <row r="59" spans="1:9" ht="30" customHeight="1">
      <c r="A59" s="32" t="str">
        <f t="shared" si="1"/>
        <v/>
      </c>
      <c r="B59" s="37"/>
      <c r="C59" s="38"/>
      <c r="D59" s="38"/>
      <c r="E59" s="38"/>
      <c r="F59" s="38"/>
      <c r="G59" s="38"/>
      <c r="H59" s="38" t="s">
        <v>698</v>
      </c>
      <c r="I59" s="39"/>
    </row>
    <row r="60" spans="1:9" ht="30" customHeight="1">
      <c r="A60" s="32" t="str">
        <f t="shared" si="1"/>
        <v/>
      </c>
      <c r="B60" s="37"/>
      <c r="C60" s="38"/>
      <c r="D60" s="38"/>
      <c r="E60" s="38"/>
      <c r="F60" s="38"/>
      <c r="G60" s="38"/>
      <c r="H60" s="38" t="s">
        <v>698</v>
      </c>
      <c r="I60" s="39"/>
    </row>
    <row r="61" spans="1:9" ht="30" customHeight="1">
      <c r="A61" s="32" t="str">
        <f t="shared" si="1"/>
        <v/>
      </c>
      <c r="B61" s="37"/>
      <c r="C61" s="38"/>
      <c r="D61" s="38"/>
      <c r="E61" s="38"/>
      <c r="F61" s="38"/>
      <c r="G61" s="38"/>
      <c r="H61" s="38" t="s">
        <v>698</v>
      </c>
      <c r="I61" s="39"/>
    </row>
    <row r="62" spans="1:9" ht="30" customHeight="1">
      <c r="A62" s="32" t="str">
        <f t="shared" si="1"/>
        <v/>
      </c>
      <c r="B62" s="37"/>
      <c r="C62" s="38"/>
      <c r="D62" s="38"/>
      <c r="E62" s="38"/>
      <c r="F62" s="38"/>
      <c r="G62" s="38"/>
      <c r="H62" s="38" t="s">
        <v>698</v>
      </c>
      <c r="I62" s="39"/>
    </row>
    <row r="63" spans="1:9" ht="30" customHeight="1">
      <c r="A63" s="32" t="str">
        <f t="shared" si="1"/>
        <v/>
      </c>
      <c r="B63" s="37"/>
      <c r="C63" s="38"/>
      <c r="D63" s="38"/>
      <c r="E63" s="38"/>
      <c r="F63" s="38"/>
      <c r="G63" s="38"/>
      <c r="H63" s="38" t="s">
        <v>698</v>
      </c>
      <c r="I63" s="39"/>
    </row>
    <row r="64" spans="1:9" ht="30" customHeight="1">
      <c r="A64" s="32" t="str">
        <f t="shared" si="1"/>
        <v/>
      </c>
      <c r="B64" s="40"/>
      <c r="C64" s="41"/>
      <c r="D64" s="41"/>
      <c r="E64" s="41"/>
      <c r="F64" s="41"/>
      <c r="G64" s="41"/>
      <c r="H64" s="41" t="s">
        <v>698</v>
      </c>
      <c r="I64" s="42"/>
    </row>
  </sheetData>
  <mergeCells count="2">
    <mergeCell ref="A1:I2"/>
    <mergeCell ref="A3:I3"/>
  </mergeCells>
  <conditionalFormatting sqref="H5:H64">
    <cfRule type="containsText" dxfId="3" priority="1" operator="containsText" text="☑ Đã kiểm tra"/>
  </conditionalFormatting>
  <dataValidations count="2">
    <dataValidation type="list" sqref="D5:D64" xr:uid="{00000000-0002-0000-0300-000000000000}">
      <formula1>"Ảnh,Video,Code,Schematic,PCB,Log,CSV,Báo cáo,Khác"</formula1>
    </dataValidation>
    <dataValidation type="list" sqref="H5:H64" xr:uid="{00000000-0002-0000-0300-000001000000}">
      <formula1>"☐ Chưa,☑ Đã kiểm tra"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topLeftCell="A17" workbookViewId="0">
      <selection activeCell="E7" sqref="E7"/>
    </sheetView>
  </sheetViews>
  <sheetFormatPr defaultRowHeight="13.8"/>
  <cols>
    <col min="1" max="1" width="14" customWidth="1"/>
    <col min="2" max="2" width="26" customWidth="1"/>
    <col min="3" max="3" width="38" customWidth="1"/>
    <col min="4" max="4" width="18" customWidth="1"/>
    <col min="5" max="5" width="52" customWidth="1"/>
  </cols>
  <sheetData>
    <row r="1" spans="1:5" ht="30" customHeight="1">
      <c r="A1" s="52" t="s">
        <v>700</v>
      </c>
      <c r="B1" s="52" t="s">
        <v>700</v>
      </c>
      <c r="C1" s="52" t="s">
        <v>700</v>
      </c>
      <c r="D1" s="52" t="s">
        <v>700</v>
      </c>
      <c r="E1" s="52" t="s">
        <v>700</v>
      </c>
    </row>
    <row r="2" spans="1:5" ht="30" customHeight="1">
      <c r="A2" s="52" t="s">
        <v>700</v>
      </c>
      <c r="B2" s="52" t="s">
        <v>700</v>
      </c>
      <c r="C2" s="52" t="s">
        <v>700</v>
      </c>
      <c r="D2" s="52" t="s">
        <v>700</v>
      </c>
      <c r="E2" s="52" t="s">
        <v>700</v>
      </c>
    </row>
    <row r="3" spans="1:5" ht="14.4">
      <c r="A3" s="32"/>
      <c r="B3" s="32"/>
      <c r="C3" s="32"/>
      <c r="D3" s="32"/>
      <c r="E3" s="32"/>
    </row>
    <row r="4" spans="1:5">
      <c r="A4" s="46" t="s">
        <v>701</v>
      </c>
      <c r="B4" s="46" t="s">
        <v>702</v>
      </c>
      <c r="C4" s="46" t="s">
        <v>703</v>
      </c>
      <c r="D4" s="46" t="s">
        <v>704</v>
      </c>
      <c r="E4" s="46" t="s">
        <v>705</v>
      </c>
    </row>
    <row r="5" spans="1:5" ht="34.049999999999997" customHeight="1">
      <c r="A5" s="32" t="s">
        <v>706</v>
      </c>
      <c r="B5" s="32" t="s">
        <v>707</v>
      </c>
      <c r="C5" s="43" t="s">
        <v>708</v>
      </c>
      <c r="D5" s="36" t="s">
        <v>709</v>
      </c>
      <c r="E5" s="33" t="s">
        <v>710</v>
      </c>
    </row>
    <row r="6" spans="1:5" ht="34.049999999999997" customHeight="1">
      <c r="A6" s="32" t="s">
        <v>706</v>
      </c>
      <c r="B6" s="32" t="s">
        <v>711</v>
      </c>
      <c r="C6" s="44" t="s">
        <v>712</v>
      </c>
      <c r="D6" s="39" t="s">
        <v>709</v>
      </c>
      <c r="E6" s="33" t="s">
        <v>713</v>
      </c>
    </row>
    <row r="7" spans="1:5" ht="34.049999999999997" customHeight="1">
      <c r="A7" s="32" t="s">
        <v>714</v>
      </c>
      <c r="B7" s="32" t="s">
        <v>715</v>
      </c>
      <c r="C7" s="44" t="s">
        <v>716</v>
      </c>
      <c r="D7" s="39" t="s">
        <v>717</v>
      </c>
      <c r="E7" s="33" t="s">
        <v>718</v>
      </c>
    </row>
    <row r="8" spans="1:5" ht="34.049999999999997" customHeight="1">
      <c r="A8" s="32" t="s">
        <v>714</v>
      </c>
      <c r="B8" s="32" t="s">
        <v>719</v>
      </c>
      <c r="C8" s="44" t="s">
        <v>720</v>
      </c>
      <c r="D8" s="39" t="s">
        <v>717</v>
      </c>
      <c r="E8" s="33" t="s">
        <v>721</v>
      </c>
    </row>
    <row r="9" spans="1:5" ht="34.049999999999997" customHeight="1">
      <c r="A9" s="32" t="s">
        <v>714</v>
      </c>
      <c r="B9" s="32" t="s">
        <v>722</v>
      </c>
      <c r="C9" s="44" t="s">
        <v>723</v>
      </c>
      <c r="D9" s="39" t="s">
        <v>717</v>
      </c>
      <c r="E9" s="33" t="s">
        <v>724</v>
      </c>
    </row>
    <row r="10" spans="1:5" ht="34.049999999999997" customHeight="1">
      <c r="A10" s="32" t="s">
        <v>725</v>
      </c>
      <c r="B10" s="32" t="s">
        <v>726</v>
      </c>
      <c r="C10" s="44" t="s">
        <v>727</v>
      </c>
      <c r="D10" s="39" t="s">
        <v>709</v>
      </c>
      <c r="E10" s="33" t="s">
        <v>728</v>
      </c>
    </row>
    <row r="11" spans="1:5" ht="34.049999999999997" customHeight="1">
      <c r="A11" s="32" t="s">
        <v>729</v>
      </c>
      <c r="B11" s="32" t="s">
        <v>730</v>
      </c>
      <c r="C11" s="44" t="s">
        <v>731</v>
      </c>
      <c r="D11" s="39" t="s">
        <v>709</v>
      </c>
      <c r="E11" s="33" t="s">
        <v>732</v>
      </c>
    </row>
    <row r="12" spans="1:5" ht="34.049999999999997" customHeight="1">
      <c r="A12" s="32" t="s">
        <v>729</v>
      </c>
      <c r="B12" s="32" t="s">
        <v>733</v>
      </c>
      <c r="C12" s="44" t="s">
        <v>734</v>
      </c>
      <c r="D12" s="39" t="s">
        <v>717</v>
      </c>
      <c r="E12" s="33" t="s">
        <v>735</v>
      </c>
    </row>
    <row r="13" spans="1:5" ht="34.049999999999997" customHeight="1">
      <c r="A13" s="32" t="s">
        <v>729</v>
      </c>
      <c r="B13" s="32" t="s">
        <v>736</v>
      </c>
      <c r="C13" s="44" t="s">
        <v>737</v>
      </c>
      <c r="D13" s="39" t="s">
        <v>738</v>
      </c>
      <c r="E13" s="33" t="s">
        <v>739</v>
      </c>
    </row>
    <row r="14" spans="1:5" ht="34.049999999999997" customHeight="1">
      <c r="A14" s="32" t="s">
        <v>740</v>
      </c>
      <c r="B14" s="32" t="s">
        <v>741</v>
      </c>
      <c r="C14" s="44" t="s">
        <v>742</v>
      </c>
      <c r="D14" s="39" t="s">
        <v>709</v>
      </c>
      <c r="E14" s="33" t="s">
        <v>743</v>
      </c>
    </row>
    <row r="15" spans="1:5" ht="34.049999999999997" customHeight="1">
      <c r="A15" s="32" t="s">
        <v>740</v>
      </c>
      <c r="B15" s="32" t="s">
        <v>744</v>
      </c>
      <c r="C15" s="44" t="s">
        <v>745</v>
      </c>
      <c r="D15" s="39" t="s">
        <v>709</v>
      </c>
      <c r="E15" s="33" t="s">
        <v>746</v>
      </c>
    </row>
    <row r="16" spans="1:5" ht="34.049999999999997" customHeight="1">
      <c r="A16" s="32" t="s">
        <v>747</v>
      </c>
      <c r="B16" s="32" t="s">
        <v>748</v>
      </c>
      <c r="C16" s="44" t="s">
        <v>749</v>
      </c>
      <c r="D16" s="39" t="s">
        <v>717</v>
      </c>
      <c r="E16" s="33" t="s">
        <v>750</v>
      </c>
    </row>
    <row r="17" spans="1:5" ht="34.049999999999997" customHeight="1">
      <c r="A17" s="32" t="s">
        <v>747</v>
      </c>
      <c r="B17" s="32" t="s">
        <v>751</v>
      </c>
      <c r="C17" s="44" t="s">
        <v>752</v>
      </c>
      <c r="D17" s="39" t="s">
        <v>709</v>
      </c>
      <c r="E17" s="33" t="s">
        <v>753</v>
      </c>
    </row>
    <row r="18" spans="1:5" ht="34.049999999999997" customHeight="1">
      <c r="A18" s="32" t="s">
        <v>754</v>
      </c>
      <c r="B18" s="32" t="s">
        <v>755</v>
      </c>
      <c r="C18" s="44" t="s">
        <v>756</v>
      </c>
      <c r="D18" s="39" t="s">
        <v>709</v>
      </c>
      <c r="E18" s="33" t="s">
        <v>757</v>
      </c>
    </row>
    <row r="19" spans="1:5" ht="34.049999999999997" customHeight="1">
      <c r="A19" s="32" t="s">
        <v>754</v>
      </c>
      <c r="B19" s="32" t="s">
        <v>758</v>
      </c>
      <c r="C19" s="44" t="s">
        <v>759</v>
      </c>
      <c r="D19" s="39" t="s">
        <v>709</v>
      </c>
      <c r="E19" s="33" t="s">
        <v>760</v>
      </c>
    </row>
    <row r="20" spans="1:5" ht="34.049999999999997" customHeight="1">
      <c r="A20" s="32" t="s">
        <v>754</v>
      </c>
      <c r="B20" s="32" t="s">
        <v>761</v>
      </c>
      <c r="C20" s="44" t="s">
        <v>762</v>
      </c>
      <c r="D20" s="39" t="s">
        <v>709</v>
      </c>
      <c r="E20" s="33" t="s">
        <v>763</v>
      </c>
    </row>
    <row r="21" spans="1:5" ht="34.049999999999997" customHeight="1">
      <c r="A21" s="32" t="s">
        <v>754</v>
      </c>
      <c r="B21" s="32" t="s">
        <v>764</v>
      </c>
      <c r="C21" s="44" t="s">
        <v>765</v>
      </c>
      <c r="D21" s="39" t="s">
        <v>709</v>
      </c>
      <c r="E21" s="33" t="s">
        <v>766</v>
      </c>
    </row>
    <row r="22" spans="1:5" ht="34.049999999999997" customHeight="1">
      <c r="A22" s="32" t="s">
        <v>767</v>
      </c>
      <c r="B22" s="32" t="s">
        <v>768</v>
      </c>
      <c r="C22" s="45" t="s">
        <v>769</v>
      </c>
      <c r="D22" s="42" t="s">
        <v>770</v>
      </c>
      <c r="E22" s="33" t="s">
        <v>771</v>
      </c>
    </row>
  </sheetData>
  <mergeCells count="1">
    <mergeCell ref="A1:E2"/>
  </mergeCells>
  <conditionalFormatting sqref="D5:D22">
    <cfRule type="containsText" dxfId="2" priority="1" operator="containsText" text="Đã xác nhận"/>
    <cfRule type="containsText" dxfId="1" priority="2" operator="containsText" text="Chưa xác nhận"/>
    <cfRule type="containsText" dxfId="0" priority="3" operator="containsText" text="Cần xác nhận"/>
  </conditionalFormatting>
  <dataValidations count="1">
    <dataValidation type="list" sqref="D5:D22" xr:uid="{00000000-0002-0000-0400-000000000000}">
      <formula1>"Chưa xác nhận,Cần xác nhận,Đề xuất,Đã xác nhận,Bắt buộc"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Checklist</vt:lpstr>
      <vt:lpstr>Mốc kiểm tra</vt:lpstr>
      <vt:lpstr>Nhật ký minh chứng</vt:lpstr>
      <vt:lpstr>Thông số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An Ninh 20222351</cp:lastModifiedBy>
  <dcterms:modified xsi:type="dcterms:W3CDTF">2026-07-19T18:45:46Z</dcterms:modified>
</cp:coreProperties>
</file>