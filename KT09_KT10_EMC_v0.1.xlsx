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32080099c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bab6c6e499b44ed0"/>
    <x:sheet xmlns:r="http://schemas.openxmlformats.org/officeDocument/2006/relationships" name="KT08_Anten" sheetId="2" r:id="Rd9834decb8394796"/>
    <x:sheet xmlns:r="http://schemas.openxmlformats.org/officeDocument/2006/relationships" name="KT09_PinMap" sheetId="3" r:id="Rf94d3cca39ff43d3"/>
    <x:sheet xmlns:r="http://schemas.openxmlformats.org/officeDocument/2006/relationships" name="KT10_BOM" sheetId="4" r:id="R7b868303654c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₫&quot;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E6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i/>
      <x:sz val="10"/>
      <x:color rgb="FF334E68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1"/>
      <x:color rgb="FF17365D"/>
      <x:name val="Carlito"/>
    </x:font>
    <x:font>
      <x:b/>
      <x:sz val="11"/>
      <x:color rgb="FF17365D"/>
      <x:name val="Aptos"/>
    </x:font>
    <x:font>
      <x:b/>
      <x:sz val="9"/>
      <x:color rgb="FFFFFFFF"/>
      <x:name val="Aptos"/>
    </x:font>
    <x:font>
      <x:i/>
      <x:sz val="9"/>
      <x:color rgb="FF334E68"/>
      <x:name val="Aptos"/>
    </x:font>
    <x:font>
      <x:sz val="9"/>
      <x:name val="Aptos"/>
    </x:font>
    <x:font>
      <x:b/>
      <x:sz val="9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CE6EC"/>
      </x:right>
      <x:bottom style="thin">
        <x:color rgb="FFDCE6EC"/>
      </x:bottom>
    </x:border>
    <x:border>
      <x:left style="thin">
        <x:color rgb="FFDCE6EC"/>
      </x:left>
      <x:bottom style="thin">
        <x:color rgb="FFDCE6EC"/>
      </x:bottom>
    </x:border>
    <x:border>
      <x:right style="thin">
        <x:color rgb="FFDCE6EC"/>
      </x:right>
      <x:top style="thin">
        <x:color rgb="FFDCE6EC"/>
      </x:top>
      <x:bottom style="thin">
        <x:color rgb="FFDCE6EC"/>
      </x:bottom>
    </x:border>
    <x:border>
      <x:left style="thin">
        <x:color rgb="FFDCE6EC"/>
      </x:left>
      <x:top style="thin">
        <x:color rgb="FFDCE6EC"/>
      </x:top>
      <x:bottom style="thin">
        <x:color rgb="FFDCE6EC"/>
      </x:bottom>
    </x:border>
    <x:border>
      <x:right style="thin">
        <x:color rgb="FFDCE6EC"/>
      </x:right>
      <x:top style="thin">
        <x:color rgb="FFDCE6EC"/>
      </x:top>
    </x:border>
    <x:border>
      <x:left style="thin">
        <x:color rgb="FFDCE6EC"/>
      </x:left>
      <x:top style="thin">
        <x:color rgb="FFDCE6EC"/>
      </x:top>
    </x:border>
    <x:border>
      <x:left style="thin">
        <x:color rgb="FFDCE6EC"/>
      </x:left>
      <x:right style="thin">
        <x:color rgb="FFDCE6EC"/>
      </x:right>
      <x:bottom style="thin">
        <x:color rgb="FFDCE6EC"/>
      </x:bottom>
    </x:border>
    <x:border>
      <x:left style="thin">
        <x:color rgb="FFDCE6EC"/>
      </x:left>
      <x:right style="thin">
        <x:color rgb="FFDCE6EC"/>
      </x:right>
      <x:top style="thin">
        <x:color rgb="FFDCE6EC"/>
      </x:top>
      <x:bottom style="thin">
        <x:color rgb="FFDCE6EC"/>
      </x:bottom>
    </x:border>
    <x:border>
      <x:left style="thin">
        <x:color rgb="FFDCE6EC"/>
      </x:left>
      <x:right style="thin">
        <x:color rgb="FFDCE6EC"/>
      </x:right>
      <x:top style="thin">
        <x:color rgb="FFDCE6EC"/>
      </x:top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200" fontId="11" fillId="0" borderId="9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10" xfId="0" applyNumberFormat="1" applyFont="1" applyFill="1" applyBorder="1" applyAlignment="1">
      <x:alignment vertical="center" wrapText="1"/>
    </x:xf>
    <x:xf numFmtId="0" fontId="12" fillId="0" borderId="1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12" fillId="4" borderId="8" xfId="0" applyNumberFormat="1" applyFont="1" applyFill="1" applyBorder="1" applyAlignment="1">
      <x:alignment vertical="center" wrapText="1"/>
    </x:xf>
    <x:xf numFmtId="0" fontId="12" fillId="5" borderId="9" xfId="0" applyNumberFormat="1" applyFont="1" applyFill="1" applyBorder="1" applyAlignment="1">
      <x:alignment vertical="center" wrapText="1"/>
    </x:xf>
    <x:xf numFmtId="0" fontId="12" fillId="6" borderId="1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3" fillId="0" borderId="8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/>
    <x:xf numFmtId="0" fontId="15" fillId="2" borderId="1" xfId="0" applyNumberFormat="1" applyFont="1" applyFill="1" applyBorder="1" applyAlignment="1">
      <x:alignment horizontal="center" vertical="center" wrapText="1"/>
    </x:xf>
    <x:xf numFmtId="0" fontId="17" fillId="0" borderId="2" xfId="0" applyNumberFormat="1" applyFont="1" applyFill="1" applyBorder="1" applyAlignment="1">
      <x:alignment vertical="center" wrapText="1"/>
    </x:xf>
    <x:xf numFmtId="0" fontId="17" fillId="0" borderId="8" xfId="0" applyNumberFormat="1" applyFont="1" applyFill="1" applyBorder="1" applyAlignment="1">
      <x:alignment vertical="center" wrapText="1"/>
    </x:xf>
    <x:xf numFmtId="0" fontId="18" fillId="0" borderId="8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 applyAlignment="1">
      <x:alignment vertical="center" wrapText="1"/>
    </x:xf>
    <x:xf numFmtId="0" fontId="17" fillId="0" borderId="4" xfId="0" applyNumberFormat="1" applyFont="1" applyFill="1" applyBorder="1" applyAlignment="1">
      <x:alignment vertical="center" wrapText="1"/>
    </x:xf>
    <x:xf numFmtId="0" fontId="17" fillId="0" borderId="9" xfId="0" applyNumberFormat="1" applyFont="1" applyFill="1" applyBorder="1" applyAlignment="1">
      <x:alignment vertical="center" wrapText="1"/>
    </x:xf>
    <x:xf numFmtId="0" fontId="18" fillId="0" borderId="9" xfId="0" applyNumberFormat="1" applyFont="1" applyFill="1" applyBorder="1" applyAlignment="1">
      <x:alignment vertical="center" wrapText="1"/>
    </x:xf>
    <x:xf numFmtId="0" fontId="17" fillId="0" borderId="5" xfId="0" applyNumberFormat="1" applyFont="1" applyFill="1" applyBorder="1" applyAlignment="1">
      <x:alignment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0" fontId="17" fillId="0" borderId="10" xfId="0" applyNumberFormat="1" applyFont="1" applyFill="1" applyBorder="1" applyAlignment="1">
      <x:alignment vertical="center" wrapText="1"/>
    </x:xf>
    <x:xf numFmtId="0" fontId="18" fillId="0" borderId="10" xfId="0" applyNumberFormat="1" applyFont="1" applyFill="1" applyBorder="1" applyAlignment="1">
      <x:alignment vertical="center" wrapText="1"/>
    </x:xf>
    <x:xf numFmtId="0" fontId="17" fillId="0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5" borderId="9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5" borderId="1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7" fillId="5" borderId="8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200" fontId="7" fillId="5" borderId="9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0" fontId="7" fillId="5" borderId="10" xfId="0" applyNumberFormat="1" applyFont="1" applyFill="1" applyBorder="1" applyAlignment="1">
      <x:alignment vertical="center" wrapText="1"/>
    </x:xf>
    <x:xf numFmtId="200" fontId="7" fillId="0" borderId="7" xfId="0" applyNumberFormat="1" applyFont="1" applyFill="1" applyBorder="1" applyAlignment="1">
      <x:alignment vertical="center" wrapText="1"/>
    </x:xf>
    <x:xf numFmtId="200" fontId="17" fillId="5" borderId="8" xfId="0" applyNumberFormat="1" applyFont="1" applyFill="1" applyBorder="1" applyAlignment="1">
      <x:alignment vertical="center" wrapText="1"/>
    </x:xf>
    <x:xf numFmtId="200" fontId="17" fillId="0" borderId="3" xfId="0" applyNumberFormat="1" applyFont="1" applyFill="1" applyBorder="1" applyAlignment="1">
      <x:alignment vertical="center" wrapText="1"/>
    </x:xf>
    <x:xf numFmtId="200" fontId="17" fillId="5" borderId="9" xfId="0" applyNumberFormat="1" applyFont="1" applyFill="1" applyBorder="1" applyAlignment="1">
      <x:alignment vertical="center" wrapText="1"/>
    </x:xf>
    <x:xf numFmtId="200" fontId="17" fillId="0" borderId="5" xfId="0" applyNumberFormat="1" applyFont="1" applyFill="1" applyBorder="1" applyAlignment="1">
      <x:alignment vertical="center" wrapText="1"/>
    </x:xf>
    <x:xf numFmtId="200" fontId="17" fillId="5" borderId="10" xfId="0" applyNumberFormat="1" applyFont="1" applyFill="1" applyBorder="1" applyAlignment="1">
      <x:alignment vertical="center" wrapText="1"/>
    </x:xf>
    <x:xf numFmtId="200" fontId="17" fillId="0" borderId="7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7" fillId="0" borderId="8" xfId="0" applyNumberFormat="1" applyFont="1" applyFill="1" applyBorder="1" applyAlignment="1">
      <x:alignment horizontal="center" vertical="center" wrapText="1"/>
    </x:xf>
    <x:xf numFmtId="0" fontId="17" fillId="0" borderId="9" xfId="0" applyNumberFormat="1" applyFont="1" applyFill="1" applyBorder="1" applyAlignment="1">
      <x:alignment horizontal="center" vertical="center" wrapText="1"/>
    </x:xf>
    <x:xf numFmtId="0" fontId="17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975d797d14983" /><Relationship Type="http://schemas.openxmlformats.org/officeDocument/2006/relationships/theme" Target="/xl/theme/theme1.xml" Id="Rd04c05ada9994715" /><Relationship Type="http://schemas.openxmlformats.org/officeDocument/2006/relationships/sharedStrings" Target="/xl/sharedStrings.xml" Id="R6ed26f8dabab4a0d" /><Relationship Type="http://schemas.openxmlformats.org/officeDocument/2006/relationships/worksheet" Target="/xl/worksheets/sheet1.xml" Id="Rbab6c6e499b44ed0" /><Relationship Type="http://schemas.openxmlformats.org/officeDocument/2006/relationships/worksheet" Target="/xl/worksheets/sheet2.xml" Id="Rd9834decb8394796" /><Relationship Type="http://schemas.openxmlformats.org/officeDocument/2006/relationships/worksheet" Target="/xl/worksheets/sheet3.xml" Id="Rf94d3cca39ff43d3" /><Relationship Type="http://schemas.openxmlformats.org/officeDocument/2006/relationships/worksheet" Target="/xl/worksheets/sheet4.xml" Id="R7b868303654c45ec" /></Relationships>
</file>

<file path=xl/tables/table1.xml><?xml version="1.0" encoding="utf-8"?>
<x:table xmlns:x="http://schemas.openxmlformats.org/spreadsheetml/2006/main" id="1" name="PinMapTable" displayName="PinMapTable" ref="A4:J26" headerRowCount="1" totalsRowCount="0" totalsRowShown="0">
  <x:tableColumns count="10">
    <x:tableColumn id="1" name="Pin vật lý"/>
    <x:tableColumn id="2" name="Tên chân"/>
    <x:tableColumn id="3" name="Net dự án"/>
    <x:tableColumn id="4" name="Hướng"/>
    <x:tableColumn id="5" name="Chức năng"/>
    <x:tableColumn id="6" name="Mạch ngoài"/>
    <x:tableColumn id="7" name="Hạn chế lúc boot"/>
    <x:tableColumn id="8" name="Define firmware"/>
    <x:tableColumn id="9" name="Trạng thái"/>
    <x:tableColumn id="10" name="Ghi chú kiểm t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MTable" displayName="BOMTable" ref="A3:N53" headerRowCount="1" totalsRowCount="0" totalsRowShown="0">
  <x:tableColumns count="14">
    <x:tableColumn id="1" name="STT"/>
    <x:tableColumn id="2" name="RefDes"/>
    <x:tableColumn id="3" name="Khối"/>
    <x:tableColumn id="4" name="Mã linh kiện/MPN"/>
    <x:tableColumn id="5" name="Hãng"/>
    <x:tableColumn id="6" name="Mô tả/Giá trị"/>
    <x:tableColumn id="7" name="Package"/>
    <x:tableColumn id="8" name="SL/thiết bị"/>
    <x:tableColumn id="9" name="PCB"/>
    <x:tableColumn id="10" name="Trạng thái"/>
    <x:tableColumn id="11" name="Thay thế"/>
    <x:tableColumn id="12" name="Nguồn/Datasheet"/>
    <x:tableColumn id="13" name="Đơn giá (VND)"/>
    <x:tableColumn id="14" name="Thành tiề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7cf84f503d0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45b72ecf0a44d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18" hidden="0" customWidth="1"/>
    <x:col min="4" max="4" width="3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143" t="str">
        <x:v>KT-08 / KT-09 / KT-10 – DỰ ÁN EMC</x:v>
      </x:c>
      <x:c r="B1" s="143" t="str">
        <x:v>KT-08 / KT-09 / KT-10 – DỰ ÁN EMC</x:v>
      </x:c>
      <x:c r="C1" s="143" t="str">
        <x:v>KT-08 / KT-09 / KT-10 – DỰ ÁN EMC</x:v>
      </x:c>
      <x:c r="D1" s="143" t="str">
        <x:v>KT-08 / KT-09 / KT-10 – DỰ ÁN EMC</x:v>
      </x:c>
      <x:c r="E1" s="143" t="str">
        <x:v>KT-08 / KT-09 / KT-10 – DỰ ÁN EMC</x:v>
      </x:c>
      <x:c r="F1" s="143" t="str">
        <x:v>KT-08 / KT-09 / KT-10 – DỰ ÁN EMC</x:v>
      </x:c>
      <x:c r="G1" s="143" t="str">
        <x:v>KT-08 / KT-09 / KT-10 – DỰ ÁN EMC</x:v>
      </x:c>
      <x:c r="H1" s="143" t="str">
        <x:v>KT-08 / KT-09 / KT-10 – DỰ ÁN EMC</x:v>
      </x:c>
    </x:row>
    <x:row r="2" ht="28" customHeight="1">
      <x:c r="A2" s="49" t="str">
        <x:v>Thiết bị đo nhiệt độ dùng ESP32-C3FH4X, TMP117 và Wi-Fi 2,4 GHz – phiên bản v0.1</x:v>
      </x:c>
      <x:c r="B2" s="49" t="str">
        <x:v>Thiết bị đo nhiệt độ dùng ESP32-C3FH4X, TMP117 và Wi-Fi 2,4 GHz – phiên bản v0.1</x:v>
      </x:c>
      <x:c r="C2" s="49" t="str">
        <x:v>Thiết bị đo nhiệt độ dùng ESP32-C3FH4X, TMP117 và Wi-Fi 2,4 GHz – phiên bản v0.1</x:v>
      </x:c>
      <x:c r="D2" s="49" t="str">
        <x:v>Thiết bị đo nhiệt độ dùng ESP32-C3FH4X, TMP117 và Wi-Fi 2,4 GHz – phiên bản v0.1</x:v>
      </x:c>
      <x:c r="E2" s="49" t="str">
        <x:v>Thiết bị đo nhiệt độ dùng ESP32-C3FH4X, TMP117 và Wi-Fi 2,4 GHz – phiên bản v0.1</x:v>
      </x:c>
      <x:c r="F2" s="49" t="str">
        <x:v>Thiết bị đo nhiệt độ dùng ESP32-C3FH4X, TMP117 và Wi-Fi 2,4 GHz – phiên bản v0.1</x:v>
      </x:c>
      <x:c r="G2" s="49" t="str">
        <x:v>Thiết bị đo nhiệt độ dùng ESP32-C3FH4X, TMP117 và Wi-Fi 2,4 GHz – phiên bản v0.1</x:v>
      </x:c>
      <x:c r="H2" s="49" t="str">
        <x:v>Thiết bị đo nhiệt độ dùng ESP32-C3FH4X, TMP117 và Wi-Fi 2,4 GHz – phiên bản v0.1</x:v>
      </x:c>
    </x:row>
    <x:row r="3">
      <x:c r="A3" s="144"/>
      <x:c r="B3" s="144"/>
      <x:c r="C3" s="144"/>
      <x:c r="D3" s="144"/>
      <x:c r="E3" s="144"/>
      <x:c r="F3" s="144"/>
      <x:c r="G3" s="144"/>
      <x:c r="H3" s="144"/>
    </x:row>
    <x:row r="4">
      <x:c r="A4" s="69" t="str">
        <x:v>Thông tin</x:v>
      </x:c>
      <x:c r="B4" s="69" t="str">
        <x:v>Giá trị</x:v>
      </x:c>
      <x:c r="C4" s="144"/>
      <x:c r="D4" s="144"/>
      <x:c r="E4" s="144"/>
      <x:c r="F4" s="144"/>
      <x:c r="G4" s="144"/>
      <x:c r="H4" s="144"/>
    </x:row>
    <x:row r="5">
      <x:c r="A5" s="70" t="str">
        <x:v>MCU</x:v>
      </x:c>
      <x:c r="B5" s="71" t="str">
        <x:v>ESP32-C3FH4X – QFN32, Flash 4 MB trong package</x:v>
      </x:c>
      <x:c r="C5" s="144"/>
      <x:c r="D5" s="144"/>
      <x:c r="E5" s="144"/>
      <x:c r="F5" s="144"/>
      <x:c r="G5" s="144"/>
      <x:c r="H5" s="144"/>
    </x:row>
    <x:row r="6">
      <x:c r="A6" s="72" t="str">
        <x:v>Cảm biến</x:v>
      </x:c>
      <x:c r="B6" s="73" t="str">
        <x:v>TMP117MAIDRVR – WSON-6</x:v>
      </x:c>
      <x:c r="C6" s="144"/>
      <x:c r="D6" s="144"/>
      <x:c r="E6" s="144"/>
      <x:c r="F6" s="144"/>
      <x:c r="G6" s="144"/>
      <x:c r="H6" s="144"/>
    </x:row>
    <x:row r="7">
      <x:c r="A7" s="72" t="str">
        <x:v>Phương án anten</x:v>
      </x:c>
      <x:c r="B7" s="73" t="str">
        <x:v>U.FL + anten rời 2,4 GHz 50 Ω (khuyến nghị bản đầu)</x:v>
      </x:c>
      <x:c r="C7" s="144"/>
      <x:c r="D7" s="144"/>
      <x:c r="E7" s="144"/>
      <x:c r="F7" s="144"/>
      <x:c r="G7" s="144"/>
      <x:c r="H7" s="144"/>
    </x:row>
    <x:row r="8">
      <x:c r="A8" s="72" t="str">
        <x:v>PCB</x:v>
      </x:c>
      <x:c r="B8" s="73" t="str">
        <x:v>PCB chính + PCB đầu dò; cả hai tự thiết kế</x:v>
      </x:c>
      <x:c r="C8" s="144"/>
      <x:c r="D8" s="144"/>
      <x:c r="E8" s="144"/>
      <x:c r="F8" s="144"/>
      <x:c r="G8" s="144"/>
      <x:c r="H8" s="144"/>
    </x:row>
    <x:row r="9">
      <x:c r="A9" s="72" t="str">
        <x:v>Dải đo mục tiêu</x:v>
      </x:c>
      <x:c r="B9" s="73" t="str">
        <x:v>32–43 °C; hiển thị 0,1 °C; sai số mục tiêu ≤ ±0,2 °C</x:v>
      </x:c>
      <x:c r="C9" s="144"/>
      <x:c r="D9" s="144"/>
      <x:c r="E9" s="144"/>
      <x:c r="F9" s="144"/>
      <x:c r="G9" s="144"/>
      <x:c r="H9" s="144"/>
    </x:row>
    <x:row r="10">
      <x:c r="A10" s="72" t="str">
        <x:v>Nguồn</x:v>
      </x:c>
      <x:c r="B10" s="73" t="str">
        <x:v>Li-ion 3,7 V → bảo vệ → TPS63031 3,3 V</x:v>
      </x:c>
      <x:c r="C10" s="144"/>
      <x:c r="D10" s="144"/>
      <x:c r="E10" s="144"/>
      <x:c r="F10" s="144"/>
      <x:c r="G10" s="144"/>
      <x:c r="H10" s="144"/>
    </x:row>
    <x:row r="11">
      <x:c r="A11" s="72" t="str">
        <x:v>Trạng thái tài liệu</x:v>
      </x:c>
      <x:c r="B11" s="73" t="str">
        <x:v>BOM v0.1 – chưa được phép đặt hàng cho tới khi các dòng quan trọng đã chốt</x:v>
      </x:c>
      <x:c r="C11" s="144"/>
      <x:c r="D11" s="144"/>
      <x:c r="E11" s="144"/>
      <x:c r="F11" s="144"/>
      <x:c r="G11" s="144"/>
      <x:c r="H11" s="144"/>
    </x:row>
    <x:row r="12">
      <x:c r="A12" s="74" t="str">
        <x:v>Lưu ý 2 W</x:v>
      </x:c>
      <x:c r="B12" s="75" t="str">
        <x:v>Chưa chốt là công suất RF hay tổng công suất thiết bị</x:v>
      </x:c>
      <x:c r="C12" s="144"/>
      <x:c r="D12" s="144"/>
      <x:c r="E12" s="144"/>
      <x:c r="F12" s="144"/>
      <x:c r="G12" s="144"/>
      <x:c r="H12" s="144"/>
    </x:row>
    <x:row r="13">
      <x:c r="A13" s="144"/>
      <x:c r="B13" s="144"/>
      <x:c r="C13" s="144"/>
      <x:c r="D13" s="144"/>
      <x:c r="E13" s="144"/>
      <x:c r="F13" s="144"/>
      <x:c r="G13" s="144"/>
      <x:c r="H13" s="144"/>
    </x:row>
    <x:row r="14">
      <x:c r="A14" s="69" t="str">
        <x:v>Chỉ số</x:v>
      </x:c>
      <x:c r="B14" s="69" t="str">
        <x:v>Công thức</x:v>
      </x:c>
      <x:c r="C14" s="69" t="str">
        <x:v>Kết quả</x:v>
      </x:c>
      <x:c r="D14" s="69" t="str">
        <x:v>Điều kiện hoàn thành</x:v>
      </x:c>
      <x:c r="E14" s="144"/>
      <x:c r="F14" s="144"/>
      <x:c r="G14" s="144"/>
      <x:c r="H14" s="144"/>
    </x:row>
    <x:row r="15">
      <x:c r="A15" s="76" t="str">
        <x:v>Số GPIO/chân đã chốt</x:v>
      </x:c>
      <x:c r="B15" s="77" t="str">
        <x:v>COUNTIF trạng thái Đã chốt</x:v>
      </x:c>
      <x:c r="C15" s="77" t="n">
        <x:f>COUNTIF('KT09_PinMap'!$I$5:$I$26,"Đã chốt")</x:f>
        <x:v>22</x:v>
      </x:c>
      <x:c r="D15" s="71" t="str">
        <x:v>Các net bắt buộc đều có GPIO</x:v>
      </x:c>
      <x:c r="E15" s="144"/>
      <x:c r="F15" s="144"/>
      <x:c r="G15" s="144"/>
      <x:c r="H15" s="144"/>
    </x:row>
    <x:row r="16">
      <x:c r="A16" s="78" t="str">
        <x:v>Số dòng BOM</x:v>
      </x:c>
      <x:c r="B16" s="79" t="str">
        <x:v>COUNTA mã dòng</x:v>
      </x:c>
      <x:c r="C16" s="79" t="n">
        <x:f>COUNTA('KT10_BOM'!$A$4:$A$70)</x:f>
        <x:v>50</x:v>
      </x:c>
      <x:c r="D16" s="73" t="str">
        <x:v>Có đầy đủ IC, RF, nguồn, sensor và hiển thị</x:v>
      </x:c>
      <x:c r="E16" s="144"/>
      <x:c r="F16" s="144"/>
      <x:c r="G16" s="144"/>
      <x:c r="H16" s="144"/>
    </x:row>
    <x:row r="17">
      <x:c r="A17" s="78" t="str">
        <x:v>Dòng BOM cần xác nhận</x:v>
      </x:c>
      <x:c r="B17" s="79" t="str">
        <x:v>COUNTIF trạng thái Cần xác nhận</x:v>
      </x:c>
      <x:c r="C17" s="79" t="n">
        <x:f>COUNTIF('KT10_BOM'!$J$4:$J$70,"Cần xác nhận")</x:f>
        <x:v>24</x:v>
      </x:c>
      <x:c r="D17" s="73" t="str">
        <x:v>Phải về 0 trước khi đặt hàng</x:v>
      </x:c>
      <x:c r="E17" s="144"/>
      <x:c r="F17" s="144"/>
      <x:c r="G17" s="144"/>
      <x:c r="H17" s="144"/>
    </x:row>
    <x:row r="18">
      <x:c r="A18" s="78" t="str">
        <x:v>Chi phí/thiết bị</x:v>
      </x:c>
      <x:c r="B18" s="79" t="str">
        <x:v>SUM thành tiền</x:v>
      </x:c>
      <x:c r="C18" s="80" t="n">
        <x:f>SUM('KT10_BOM'!$N$4:$N$70)</x:f>
        <x:v>0</x:v>
      </x:c>
      <x:c r="D18" s="73" t="str">
        <x:v>Chỉ có ý nghĩa sau khi nhập đơn giá</x:v>
      </x:c>
      <x:c r="E18" s="144"/>
      <x:c r="F18" s="144"/>
      <x:c r="G18" s="144"/>
      <x:c r="H18" s="144"/>
    </x:row>
    <x:row r="19">
      <x:c r="A19" s="81" t="str">
        <x:v>Quyết định</x:v>
      </x:c>
      <x:c r="B19" s="82" t="str">
        <x:v>IF kiểm tra</x:v>
      </x:c>
      <x:c r="C19" s="83" t="str">
        <x:f>IF(AND(C15&gt;=22,C17=0),"ĐẠT","CHƯA ĐẠT")</x:f>
        <x:v>CHƯA ĐẠT</x:v>
      </x:c>
      <x:c r="D19" s="75" t="str">
        <x:v>ĐẠT mới chuyển sang schematic</x:v>
      </x:c>
      <x:c r="E19" s="144"/>
      <x:c r="F19" s="144"/>
      <x:c r="G19" s="144"/>
      <x:c r="H19" s="144"/>
    </x:row>
    <x:row r="20">
      <x:c r="A20" s="144"/>
      <x:c r="B20" s="144"/>
      <x:c r="C20" s="144"/>
      <x:c r="D20" s="144"/>
      <x:c r="E20" s="144"/>
      <x:c r="F20" s="144"/>
      <x:c r="G20" s="144"/>
      <x:c r="H20" s="144"/>
    </x:row>
    <x:row r="21">
      <x:c r="A21" s="145" t="str">
        <x:v>Trình tự sử dụng file</x:v>
      </x:c>
      <x:c r="B21" s="145"/>
      <x:c r="C21" s="145"/>
      <x:c r="D21" s="145"/>
      <x:c r="E21" s="145"/>
      <x:c r="F21" s="145"/>
      <x:c r="G21" s="145"/>
      <x:c r="H21" s="145"/>
    </x:row>
    <x:row r="22">
      <x:c r="A22" s="76" t="str">
        <x:v>1</x:v>
      </x:c>
      <x:c r="B22" s="77" t="str">
        <x:v>Kiểm tra KT08_Anten và giữ U.FL cho bản v0.1</x:v>
      </x:c>
      <x:c r="C22" s="77"/>
      <x:c r="D22" s="77"/>
      <x:c r="E22" s="77"/>
      <x:c r="F22" s="77"/>
      <x:c r="G22" s="77"/>
      <x:c r="H22" s="71"/>
    </x:row>
    <x:row r="23">
      <x:c r="A23" s="78" t="str">
        <x:v>2</x:v>
      </x:c>
      <x:c r="B23" s="79" t="str">
        <x:v>Dùng KT09_PinMap để đặt nhãn net trong KiCad và pin_config.h</x:v>
      </x:c>
      <x:c r="C23" s="79"/>
      <x:c r="D23" s="79"/>
      <x:c r="E23" s="79"/>
      <x:c r="F23" s="79"/>
      <x:c r="G23" s="79"/>
      <x:c r="H23" s="73"/>
    </x:row>
    <x:row r="24">
      <x:c r="A24" s="78" t="str">
        <x:v>3</x:v>
      </x:c>
      <x:c r="B24" s="79" t="str">
        <x:v>Chuyển KT10_BOM sang trạng thái Đã chốt sau khi kiểm tra datasheet/nguồn mua</x:v>
      </x:c>
      <x:c r="C24" s="79"/>
      <x:c r="D24" s="79"/>
      <x:c r="E24" s="79"/>
      <x:c r="F24" s="79"/>
      <x:c r="G24" s="79"/>
      <x:c r="H24" s="73"/>
    </x:row>
    <x:row r="25">
      <x:c r="A25" s="81" t="str">
        <x:v>4</x:v>
      </x:c>
      <x:c r="B25" s="82" t="str">
        <x:v>Không đặt PCB/linh kiện khi BOM còn dòng Cần xác nhận hoặc YC-02/YC-05 chưa được duyệt</x:v>
      </x:c>
      <x:c r="C25" s="82"/>
      <x:c r="D25" s="82"/>
      <x:c r="E25" s="82"/>
      <x:c r="F25" s="82"/>
      <x:c r="G25" s="82"/>
      <x:c r="H25" s="75"/>
    </x:row>
  </x:sheetData>
  <x:mergeCells>
    <x:mergeCell ref="A1:H1"/>
    <x:mergeCell ref="A2:H2"/>
    <x:mergeCell ref="A21:H21"/>
    <x:mergeCell ref="B22:H22"/>
    <x:mergeCell ref="B23:H23"/>
    <x:mergeCell ref="B24:H24"/>
    <x:mergeCell ref="B25:H25"/>
  </x:mergeCells>
  <x:conditionalFormatting sqref="C19:C19">
    <x:cfRule type="cellIs" dxfId="0" priority="1" operator="equal">
      <x:formula>"ĐẠT"</x:formula>
    </x:cfRule>
    <x:cfRule type="cellIs" dxfId="1" priority="2" operator="equal">
      <x:formula>"CHƯA ĐẠT"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7" hidden="0" customWidth="1"/>
    <x:col min="4" max="4" width="18" hidden="0" customWidth="1"/>
    <x:col min="5" max="5" width="15" hidden="0" customWidth="1"/>
    <x:col min="6" max="6" width="18" hidden="0" customWidth="1"/>
    <x:col min="7" max="7" width="18" hidden="0" customWidth="1"/>
    <x:col min="8" max="8" width="26" hidden="0" customWidth="1"/>
    <x:col min="9" max="9" width="40" hidden="0" customWidth="1"/>
  </x:cols>
  <x:sheetData>
    <x:row r="1" ht="32" customHeight="1">
      <x:c r="A1" s="143" t="str">
        <x:v>KT-08 – LỰA CHỌN PHƯƠNG ÁN ANTEN</x:v>
      </x:c>
      <x:c r="B1" s="143" t="str">
        <x:v>KT-08 – LỰA CHỌN PHƯƠNG ÁN ANTEN</x:v>
      </x:c>
      <x:c r="C1" s="143" t="str">
        <x:v>KT-08 – LỰA CHỌN PHƯƠNG ÁN ANTEN</x:v>
      </x:c>
      <x:c r="D1" s="143" t="str">
        <x:v>KT-08 – LỰA CHỌN PHƯƠNG ÁN ANTEN</x:v>
      </x:c>
      <x:c r="E1" s="143" t="str">
        <x:v>KT-08 – LỰA CHỌN PHƯƠNG ÁN ANTEN</x:v>
      </x:c>
      <x:c r="F1" s="143" t="str">
        <x:v>KT-08 – LỰA CHỌN PHƯƠNG ÁN ANTEN</x:v>
      </x:c>
      <x:c r="G1" s="143" t="str">
        <x:v>KT-08 – LỰA CHỌN PHƯƠNG ÁN ANTEN</x:v>
      </x:c>
      <x:c r="H1" s="143" t="str">
        <x:v>KT-08 – LỰA CHỌN PHƯƠNG ÁN ANTEN</x:v>
      </x:c>
      <x:c r="I1" s="143" t="str">
        <x:v>KT-08 – LỰA CHỌN PHƯƠNG ÁN ANTEN</x:v>
      </x:c>
    </x:row>
    <x:row r="2" ht="28" customHeight="1">
      <x:c r="A2" s="49" t="str">
        <x:v>Kết luận: dùng U.FL + anten rời cho bản đầu; anten PCB tự vẽ chỉ chuyển sang khi có khả năng kiểm tra/tuning RF</x:v>
      </x:c>
      <x:c r="B2" s="49" t="str">
        <x:v>Kết luận: dùng U.FL + anten rời cho bản đầu; anten PCB tự vẽ chỉ chuyển sang khi có khả năng kiểm tra/tuning RF</x:v>
      </x:c>
      <x:c r="C2" s="49" t="str">
        <x:v>Kết luận: dùng U.FL + anten rời cho bản đầu; anten PCB tự vẽ chỉ chuyển sang khi có khả năng kiểm tra/tuning RF</x:v>
      </x:c>
      <x:c r="D2" s="49" t="str">
        <x:v>Kết luận: dùng U.FL + anten rời cho bản đầu; anten PCB tự vẽ chỉ chuyển sang khi có khả năng kiểm tra/tuning RF</x:v>
      </x:c>
      <x:c r="E2" s="49" t="str">
        <x:v>Kết luận: dùng U.FL + anten rời cho bản đầu; anten PCB tự vẽ chỉ chuyển sang khi có khả năng kiểm tra/tuning RF</x:v>
      </x:c>
      <x:c r="F2" s="49" t="str">
        <x:v>Kết luận: dùng U.FL + anten rời cho bản đầu; anten PCB tự vẽ chỉ chuyển sang khi có khả năng kiểm tra/tuning RF</x:v>
      </x:c>
      <x:c r="G2" s="49" t="str">
        <x:v>Kết luận: dùng U.FL + anten rời cho bản đầu; anten PCB tự vẽ chỉ chuyển sang khi có khả năng kiểm tra/tuning RF</x:v>
      </x:c>
      <x:c r="H2" s="49" t="str">
        <x:v>Kết luận: dùng U.FL + anten rời cho bản đầu; anten PCB tự vẽ chỉ chuyển sang khi có khả năng kiểm tra/tuning RF</x:v>
      </x:c>
      <x:c r="I2" s="49" t="str">
        <x:v>Kết luận: dùng U.FL + anten rời cho bản đầu; anten PCB tự vẽ chỉ chuyển sang khi có khả năng kiểm tra/tuning RF</x:v>
      </x:c>
    </x:row>
    <x:row r="3">
      <x:c r="A3" s="144"/>
      <x:c r="B3" s="144"/>
      <x:c r="C3" s="144"/>
      <x:c r="D3" s="144"/>
      <x:c r="E3" s="144"/>
      <x:c r="F3" s="144"/>
      <x:c r="G3" s="144"/>
      <x:c r="H3" s="144"/>
      <x:c r="I3" s="144"/>
    </x:row>
    <x:row r="4">
      <x:c r="A4" s="69" t="str">
        <x:v>Phương án</x:v>
      </x:c>
      <x:c r="B4" s="69" t="str">
        <x:v>Có vi phạm cấm module?</x:v>
      </x:c>
      <x:c r="C4" s="69" t="str">
        <x:v>Khó layout/tuning</x:v>
      </x:c>
      <x:c r="D4" s="69" t="str">
        <x:v>Khả năng thay anten</x:v>
      </x:c>
      <x:c r="E4" s="69" t="str">
        <x:v>Rủi ro 100 m</x:v>
      </x:c>
      <x:c r="F4" s="69" t="str">
        <x:v>Phù hợp EMC</x:v>
      </x:c>
      <x:c r="G4" s="69" t="str">
        <x:v>Quyết định</x:v>
      </x:c>
      <x:c r="H4" s="69" t="str">
        <x:v>Minh chứng cần lưu</x:v>
      </x:c>
      <x:c r="I4" s="69" t="str">
        <x:v>Ghi chú</x:v>
      </x:c>
    </x:row>
    <x:row r="5">
      <x:c r="A5" s="76" t="str">
        <x:v>Anten nằm sẵn trên ESP32-C3-WROOM/MINI</x:v>
      </x:c>
      <x:c r="B5" s="77" t="str">
        <x:v>Có nguy cơ vi phạm</x:v>
      </x:c>
      <x:c r="C5" s="77" t="str">
        <x:v>Thấp</x:v>
      </x:c>
      <x:c r="D5" s="77" t="str">
        <x:v>Thấp</x:v>
      </x:c>
      <x:c r="E5" s="77" t="str">
        <x:v>Trung bình</x:v>
      </x:c>
      <x:c r="F5" s="77" t="str">
        <x:v>Trung bình</x:v>
      </x:c>
      <x:c r="G5" s="94" t="str">
        <x:v>Không dùng</x:v>
      </x:c>
      <x:c r="H5" s="77" t="str">
        <x:v>–</x:v>
      </x:c>
      <x:c r="I5" s="71" t="str">
        <x:v>Đây là module RF hoàn chỉnh, không phải IC rời</x:v>
      </x:c>
    </x:row>
    <x:row r="6">
      <x:c r="A6" s="78" t="str">
        <x:v>Anten PCB tự vẽ theo reference Espressif</x:v>
      </x:c>
      <x:c r="B6" s="79" t="str">
        <x:v>Không</x:v>
      </x:c>
      <x:c r="C6" s="79" t="str">
        <x:v>Cao</x:v>
      </x:c>
      <x:c r="D6" s="79" t="str">
        <x:v>Không</x:v>
      </x:c>
      <x:c r="E6" s="79" t="str">
        <x:v>Cao nếu không tuning</x:v>
      </x:c>
      <x:c r="F6" s="79" t="str">
        <x:v>Phụ thuộc layout</x:v>
      </x:c>
      <x:c r="G6" s="95" t="str">
        <x:v>Phương án v2</x:v>
      </x:c>
      <x:c r="H6" s="79" t="str">
        <x:v>S11/ảnh layout/stack-up</x:v>
      </x:c>
      <x:c r="I6" s="73" t="str">
        <x:v>Được phép nếu tự thiết kế, nhưng cần 50 Ω và vùng keep-out</x:v>
      </x:c>
    </x:row>
    <x:row r="7">
      <x:c r="A7" s="81" t="str">
        <x:v>U.FL + anten rời 2,4 GHz 50 Ω</x:v>
      </x:c>
      <x:c r="B7" s="82" t="str">
        <x:v>Không</x:v>
      </x:c>
      <x:c r="C7" s="82" t="str">
        <x:v>Trung bình</x:v>
      </x:c>
      <x:c r="D7" s="82" t="str">
        <x:v>Cao</x:v>
      </x:c>
      <x:c r="E7" s="82" t="str">
        <x:v>Thấp hơn</x:v>
      </x:c>
      <x:c r="F7" s="82" t="str">
        <x:v>Tốt cho thử A/B</x:v>
      </x:c>
      <x:c r="G7" s="96" t="str">
        <x:v>Khuyến nghị v1</x:v>
      </x:c>
      <x:c r="H7" s="82" t="str">
        <x:v>Datasheet U.FL + anten + route 50 Ω</x:v>
      </x:c>
      <x:c r="I7" s="75" t="str">
        <x:v>Giữ hai mạng C-L-C DNP để tuning</x:v>
      </x:c>
    </x:row>
    <x:row r="8">
      <x:c r="A8" s="144"/>
      <x:c r="B8" s="144"/>
      <x:c r="C8" s="144"/>
      <x:c r="D8" s="144"/>
      <x:c r="E8" s="144"/>
      <x:c r="F8" s="144"/>
      <x:c r="G8" s="144"/>
      <x:c r="H8" s="144"/>
      <x:c r="I8" s="144"/>
    </x:row>
    <x:row r="9">
      <x:c r="A9" s="147" t="str">
        <x:v>Điều kiện hoàn thành KT-08</x:v>
      </x:c>
      <x:c r="B9" s="147"/>
      <x:c r="C9" s="147"/>
      <x:c r="D9" s="147"/>
      <x:c r="E9" s="147"/>
      <x:c r="F9" s="147"/>
      <x:c r="G9" s="147"/>
      <x:c r="H9" s="147"/>
      <x:c r="I9" s="147"/>
    </x:row>
    <x:row r="10">
      <x:c r="A10" s="76" t="str">
        <x:v>1</x:v>
      </x:c>
      <x:c r="B10" s="77" t="str">
        <x:v>Connector</x:v>
      </x:c>
      <x:c r="C10" s="77" t="str">
        <x:v>U.FL-R-SMT-1(80) hoặc tương đương 50 Ω</x:v>
      </x:c>
      <x:c r="D10" s="77"/>
      <x:c r="E10" s="77"/>
      <x:c r="F10" s="77"/>
      <x:c r="G10" s="77"/>
      <x:c r="H10" s="77"/>
      <x:c r="I10" s="71"/>
    </x:row>
    <x:row r="11">
      <x:c r="A11" s="78" t="str">
        <x:v>2</x:v>
      </x:c>
      <x:c r="B11" s="79" t="str">
        <x:v>Anten</x:v>
      </x:c>
      <x:c r="C11" s="79" t="str">
        <x:v>Anten rời 2,4 GHz 50 Ω, đầu U.FL; mã cụ thể cần xác nhận nơi mua</x:v>
      </x:c>
      <x:c r="D11" s="79"/>
      <x:c r="E11" s="79"/>
      <x:c r="F11" s="79"/>
      <x:c r="G11" s="79"/>
      <x:c r="H11" s="79"/>
      <x:c r="I11" s="73"/>
    </x:row>
    <x:row r="12">
      <x:c r="A12" s="78" t="str">
        <x:v>3</x:v>
      </x:c>
      <x:c r="B12" s="79" t="str">
        <x:v>RF route</x:v>
      </x:c>
      <x:c r="C12" s="79" t="str">
        <x:v>Microstrip/CPWG 50 Ω theo stack-up nhà sản xuất; không via, không nhánh</x:v>
      </x:c>
      <x:c r="D12" s="79"/>
      <x:c r="E12" s="79"/>
      <x:c r="F12" s="79"/>
      <x:c r="G12" s="79"/>
      <x:c r="H12" s="79"/>
      <x:c r="I12" s="73"/>
    </x:row>
    <x:row r="13">
      <x:c r="A13" s="78" t="str">
        <x:v>4</x:v>
      </x:c>
      <x:c r="B13" s="79" t="str">
        <x:v>Matching</x:v>
      </x:c>
      <x:c r="C13" s="79" t="str">
        <x:v>C-L-C gần chip và C-L-C gần U.FL; footprint 0402, giá trị DNP/TBD</x:v>
      </x:c>
      <x:c r="D13" s="79"/>
      <x:c r="E13" s="79"/>
      <x:c r="F13" s="79"/>
      <x:c r="G13" s="79"/>
      <x:c r="H13" s="79"/>
      <x:c r="I13" s="73"/>
    </x:row>
    <x:row r="14">
      <x:c r="A14" s="81" t="str">
        <x:v>5</x:v>
      </x:c>
      <x:c r="B14" s="82" t="str">
        <x:v>Minh chứng</x:v>
      </x:c>
      <x:c r="C14" s="82" t="str">
        <x:v>Datasheet connector/anten, ảnh tính impedance, ảnh route và kết quả 100 m</x:v>
      </x:c>
      <x:c r="D14" s="82"/>
      <x:c r="E14" s="82"/>
      <x:c r="F14" s="82"/>
      <x:c r="G14" s="82"/>
      <x:c r="H14" s="82"/>
      <x:c r="I14" s="75"/>
    </x:row>
  </x:sheetData>
  <x:mergeCells>
    <x:mergeCell ref="A1:I1"/>
    <x:mergeCell ref="A2:I2"/>
    <x:mergeCell ref="A9:I9"/>
    <x:mergeCell ref="C10:I10"/>
    <x:mergeCell ref="C11:I11"/>
    <x:mergeCell ref="C12:I12"/>
    <x:mergeCell ref="C13:I13"/>
    <x:mergeCell ref="C14:I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10" hidden="0" customWidth="1"/>
    <x:col min="5" max="5" width="24" hidden="0" customWidth="1"/>
    <x:col min="6" max="6" width="30" hidden="0" customWidth="1"/>
    <x:col min="7" max="7" width="34" hidden="0" customWidth="1"/>
    <x:col min="8" max="8" width="20" hidden="0" customWidth="1"/>
    <x:col min="9" max="9" width="15" hidden="0" customWidth="1"/>
    <x:col min="10" max="10" width="34" hidden="0" customWidth="1"/>
  </x:cols>
  <x:sheetData>
    <x:row r="1" ht="32" customHeight="1">
      <x:c r="A1" s="149" t="str">
        <x:v>KT-09 – PIN MAP ESP32-C3FH4X</x:v>
      </x:c>
      <x:c r="B1" s="149" t="str">
        <x:v>KT-09 – PIN MAP ESP32-C3FH4X</x:v>
      </x:c>
      <x:c r="C1" s="149" t="str">
        <x:v>KT-09 – PIN MAP ESP32-C3FH4X</x:v>
      </x:c>
      <x:c r="D1" s="149" t="str">
        <x:v>KT-09 – PIN MAP ESP32-C3FH4X</x:v>
      </x:c>
      <x:c r="E1" s="149" t="str">
        <x:v>KT-09 – PIN MAP ESP32-C3FH4X</x:v>
      </x:c>
      <x:c r="F1" s="149" t="str">
        <x:v>KT-09 – PIN MAP ESP32-C3FH4X</x:v>
      </x:c>
      <x:c r="G1" s="149" t="str">
        <x:v>KT-09 – PIN MAP ESP32-C3FH4X</x:v>
      </x:c>
      <x:c r="H1" s="149" t="str">
        <x:v>KT-09 – PIN MAP ESP32-C3FH4X</x:v>
      </x:c>
      <x:c r="I1" s="149" t="str">
        <x:v>KT-09 – PIN MAP ESP32-C3FH4X</x:v>
      </x:c>
      <x:c r="J1" s="149" t="str">
        <x:v>KT-09 – PIN MAP ESP32-C3FH4X</x:v>
      </x:c>
    </x:row>
    <x:row r="2" ht="28" customHeight="1">
      <x:c r="A2" s="105" t="str">
        <x:v>GPIO12–17 không dùng; GPIO11 dành cho nguồn flash trong package; GPIO2/8/9 là strapping; GPIO18/19 dành cho USB</x:v>
      </x:c>
      <x:c r="B2" s="105" t="str">
        <x:v>GPIO12–17 không dùng; GPIO11 dành cho nguồn flash trong package; GPIO2/8/9 là strapping; GPIO18/19 dành cho USB</x:v>
      </x:c>
      <x:c r="C2" s="105" t="str">
        <x:v>GPIO12–17 không dùng; GPIO11 dành cho nguồn flash trong package; GPIO2/8/9 là strapping; GPIO18/19 dành cho USB</x:v>
      </x:c>
      <x:c r="D2" s="105" t="str">
        <x:v>GPIO12–17 không dùng; GPIO11 dành cho nguồn flash trong package; GPIO2/8/9 là strapping; GPIO18/19 dành cho USB</x:v>
      </x:c>
      <x:c r="E2" s="105" t="str">
        <x:v>GPIO12–17 không dùng; GPIO11 dành cho nguồn flash trong package; GPIO2/8/9 là strapping; GPIO18/19 dành cho USB</x:v>
      </x:c>
      <x:c r="F2" s="105" t="str">
        <x:v>GPIO12–17 không dùng; GPIO11 dành cho nguồn flash trong package; GPIO2/8/9 là strapping; GPIO18/19 dành cho USB</x:v>
      </x:c>
      <x:c r="G2" s="105" t="str">
        <x:v>GPIO12–17 không dùng; GPIO11 dành cho nguồn flash trong package; GPIO2/8/9 là strapping; GPIO18/19 dành cho USB</x:v>
      </x:c>
      <x:c r="H2" s="105" t="str">
        <x:v>GPIO12–17 không dùng; GPIO11 dành cho nguồn flash trong package; GPIO2/8/9 là strapping; GPIO18/19 dành cho USB</x:v>
      </x:c>
      <x:c r="I2" s="105" t="str">
        <x:v>GPIO12–17 không dùng; GPIO11 dành cho nguồn flash trong package; GPIO2/8/9 là strapping; GPIO18/19 dành cho USB</x:v>
      </x:c>
      <x:c r="J2" s="105" t="str">
        <x:v>GPIO12–17 không dùng; GPIO11 dành cho nguồn flash trong package; GPIO2/8/9 là strapping; GPIO18/19 dành cho USB</x:v>
      </x:c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</x:row>
    <x:row r="4">
      <x:c r="A4" s="107" t="str">
        <x:v>Pin vật lý</x:v>
      </x:c>
      <x:c r="B4" s="107" t="str">
        <x:v>Tên chân</x:v>
      </x:c>
      <x:c r="C4" s="107" t="str">
        <x:v>Net dự án</x:v>
      </x:c>
      <x:c r="D4" s="107" t="str">
        <x:v>Hướng</x:v>
      </x:c>
      <x:c r="E4" s="107" t="str">
        <x:v>Chức năng</x:v>
      </x:c>
      <x:c r="F4" s="107" t="str">
        <x:v>Mạch ngoài</x:v>
      </x:c>
      <x:c r="G4" s="107" t="str">
        <x:v>Hạn chế lúc boot</x:v>
      </x:c>
      <x:c r="H4" s="107" t="str">
        <x:v>Define firmware</x:v>
      </x:c>
      <x:c r="I4" s="107" t="str">
        <x:v>Trạng thái</x:v>
      </x:c>
      <x:c r="J4" s="107" t="str">
        <x:v>Ghi chú kiểm tra</x:v>
      </x:c>
    </x:row>
    <x:row r="5">
      <x:c r="A5" s="151" t="n">
        <x:v>4</x:v>
      </x:c>
      <x:c r="B5" s="109" t="str">
        <x:v>GPIO0</x:v>
      </x:c>
      <x:c r="C5" s="110" t="str">
        <x:v>LED_STATUS</x:v>
      </x:c>
      <x:c r="D5" s="154" t="str">
        <x:v>OUT</x:v>
      </x:c>
      <x:c r="E5" s="109" t="str">
        <x:v>LED trạng thái</x:v>
      </x:c>
      <x:c r="F5" s="109" t="str">
        <x:v>LED + R 1 kΩ</x:v>
      </x:c>
      <x:c r="G5" s="109" t="str">
        <x:v>Không phải strapping</x:v>
      </x:c>
      <x:c r="H5" s="109" t="str">
        <x:v>PIN_LED_STATUS</x:v>
      </x:c>
      <x:c r="I5" s="109" t="str">
        <x:v>Đã chốt</x:v>
      </x:c>
      <x:c r="J5" s="111" t="str">
        <x:v>Không để LED kéo nguồn quá lớn</x:v>
      </x:c>
    </x:row>
    <x:row r="6">
      <x:c r="A6" s="152" t="n">
        <x:v>5</x:v>
      </x:c>
      <x:c r="B6" s="113" t="str">
        <x:v>GPIO1</x:v>
      </x:c>
      <x:c r="C6" s="114" t="str">
        <x:v>BUZZER_PWM</x:v>
      </x:c>
      <x:c r="D6" s="155" t="str">
        <x:v>OUT</x:v>
      </x:c>
      <x:c r="E6" s="113" t="str">
        <x:v>Điều khiển buzzer</x:v>
      </x:c>
      <x:c r="F6" s="113" t="str">
        <x:v>R base 4,7 kΩ + NPN</x:v>
      </x:c>
      <x:c r="G6" s="113" t="str">
        <x:v>Không phải strapping</x:v>
      </x:c>
      <x:c r="H6" s="113" t="str">
        <x:v>PIN_BUZZER</x:v>
      </x:c>
      <x:c r="I6" s="113" t="str">
        <x:v>Đã chốt</x:v>
      </x:c>
      <x:c r="J6" s="115" t="str">
        <x:v>Buzzer mặc định tắt khi boot</x:v>
      </x:c>
    </x:row>
    <x:row r="7">
      <x:c r="A7" s="152" t="n">
        <x:v>6</x:v>
      </x:c>
      <x:c r="B7" s="113" t="str">
        <x:v>GPIO2</x:v>
      </x:c>
      <x:c r="C7" s="114" t="str">
        <x:v>GPIO2_RESERVE</x:v>
      </x:c>
      <x:c r="D7" s="155" t="str">
        <x:v>I/O</x:v>
      </x:c>
      <x:c r="E7" s="113" t="str">
        <x:v>Dự phòng/test point</x:v>
      </x:c>
      <x:c r="F7" s="113" t="str">
        <x:v>Chỉ test point</x:v>
      </x:c>
      <x:c r="G7" s="113" t="str">
        <x:v>Strapping; không gắn pull ngoài</x:v>
      </x:c>
      <x:c r="H7" s="113" t="str">
        <x:v>PIN_RESERVE_2</x:v>
      </x:c>
      <x:c r="I7" s="113" t="str">
        <x:v>Đã chốt</x:v>
      </x:c>
      <x:c r="J7" s="115" t="str">
        <x:v>Không dùng cho tải ở v1</x:v>
      </x:c>
    </x:row>
    <x:row r="8">
      <x:c r="A8" s="152" t="n">
        <x:v>8</x:v>
      </x:c>
      <x:c r="B8" s="113" t="str">
        <x:v>GPIO3</x:v>
      </x:c>
      <x:c r="C8" s="114" t="str">
        <x:v>BTN_MEASURE</x:v>
      </x:c>
      <x:c r="D8" s="155" t="str">
        <x:v>IN</x:v>
      </x:c>
      <x:c r="E8" s="113" t="str">
        <x:v>Nút đo/giữ kết quả</x:v>
      </x:c>
      <x:c r="F8" s="113" t="str">
        <x:v>Nút xuống GND; pull-up 10 kΩ</x:v>
      </x:c>
      <x:c r="G8" s="113" t="str">
        <x:v>Không phải strapping</x:v>
      </x:c>
      <x:c r="H8" s="113" t="str">
        <x:v>PIN_BUTTON</x:v>
      </x:c>
      <x:c r="I8" s="113" t="str">
        <x:v>Đã chốt</x:v>
      </x:c>
      <x:c r="J8" s="115" t="str">
        <x:v>Lọc dội bằng firmware</x:v>
      </x:c>
    </x:row>
    <x:row r="9">
      <x:c r="A9" s="152" t="n">
        <x:v>9</x:v>
      </x:c>
      <x:c r="B9" s="113" t="str">
        <x:v>GPIO4</x:v>
      </x:c>
      <x:c r="C9" s="114" t="str">
        <x:v>I2C_SDA</x:v>
      </x:c>
      <x:c r="D9" s="155" t="str">
        <x:v>I/O</x:v>
      </x:c>
      <x:c r="E9" s="113" t="str">
        <x:v>Dữ liệu TMP117</x:v>
      </x:c>
      <x:c r="F9" s="113" t="str">
        <x:v>Pull-up 4,7 kΩ + series 68 Ω</x:v>
      </x:c>
      <x:c r="G9" s="113" t="str">
        <x:v>JTAG mặc định; cấu hình lại GPIO</x:v>
      </x:c>
      <x:c r="H9" s="113" t="str">
        <x:v>PIN_I2C_SDA</x:v>
      </x:c>
      <x:c r="I9" s="113" t="str">
        <x:v>Đã chốt</x:v>
      </x:c>
      <x:c r="J9" s="115" t="str">
        <x:v>I2C 100 kHz, TVS thấp C tại connector</x:v>
      </x:c>
    </x:row>
    <x:row r="10">
      <x:c r="A10" s="152" t="n">
        <x:v>10</x:v>
      </x:c>
      <x:c r="B10" s="113" t="str">
        <x:v>GPIO5</x:v>
      </x:c>
      <x:c r="C10" s="114" t="str">
        <x:v>I2C_SCL</x:v>
      </x:c>
      <x:c r="D10" s="155" t="str">
        <x:v>OUT</x:v>
      </x:c>
      <x:c r="E10" s="113" t="str">
        <x:v>Clock TMP117</x:v>
      </x:c>
      <x:c r="F10" s="113" t="str">
        <x:v>Pull-up 4,7 kΩ + series 68 Ω</x:v>
      </x:c>
      <x:c r="G10" s="113" t="str">
        <x:v>JTAG mặc định; cấu hình lại GPIO</x:v>
      </x:c>
      <x:c r="H10" s="113" t="str">
        <x:v>PIN_I2C_SCL</x:v>
      </x:c>
      <x:c r="I10" s="113" t="str">
        <x:v>Đã chốt</x:v>
      </x:c>
      <x:c r="J10" s="115" t="str">
        <x:v>Có timeout và bus recovery</x:v>
      </x:c>
    </x:row>
    <x:row r="11">
      <x:c r="A11" s="152" t="n">
        <x:v>12</x:v>
      </x:c>
      <x:c r="B11" s="113" t="str">
        <x:v>GPIO6</x:v>
      </x:c>
      <x:c r="C11" s="114" t="str">
        <x:v>SR_DATA</x:v>
      </x:c>
      <x:c r="D11" s="155" t="str">
        <x:v>OUT</x:v>
      </x:c>
      <x:c r="E11" s="113" t="str">
        <x:v>Data cho 2 × 74HC595</x:v>
      </x:c>
      <x:c r="F11" s="113" t="str">
        <x:v>Nối SER IC thứ nhất</x:v>
      </x:c>
      <x:c r="G11" s="113" t="str">
        <x:v>JTAG mặc định; cấu hình lại GPIO</x:v>
      </x:c>
      <x:c r="H11" s="113" t="str">
        <x:v>PIN_SR_DATA</x:v>
      </x:c>
      <x:c r="I11" s="113" t="str">
        <x:v>Đã chốt</x:v>
      </x:c>
      <x:c r="J11" s="115" t="str">
        <x:v>Đặt điện trở series DNP 22–47 Ω</x:v>
      </x:c>
    </x:row>
    <x:row r="12">
      <x:c r="A12" s="152" t="n">
        <x:v>13</x:v>
      </x:c>
      <x:c r="B12" s="113" t="str">
        <x:v>GPIO7</x:v>
      </x:c>
      <x:c r="C12" s="114" t="str">
        <x:v>SR_CLK</x:v>
      </x:c>
      <x:c r="D12" s="155" t="str">
        <x:v>OUT</x:v>
      </x:c>
      <x:c r="E12" s="113" t="str">
        <x:v>Shift clock 74HC595</x:v>
      </x:c>
      <x:c r="F12" s="113" t="str">
        <x:v>Nối SRCLK</x:v>
      </x:c>
      <x:c r="G12" s="113" t="str">
        <x:v>JTAG mặc định; cấu hình lại GPIO</x:v>
      </x:c>
      <x:c r="H12" s="113" t="str">
        <x:v>PIN_SR_CLK</x:v>
      </x:c>
      <x:c r="I12" s="113" t="str">
        <x:v>Đã chốt</x:v>
      </x:c>
      <x:c r="J12" s="115" t="str">
        <x:v>Giữ trace ngắn, tránh RF</x:v>
      </x:c>
    </x:row>
    <x:row r="13">
      <x:c r="A13" s="152" t="n">
        <x:v>14</x:v>
      </x:c>
      <x:c r="B13" s="113" t="str">
        <x:v>GPIO8</x:v>
      </x:c>
      <x:c r="C13" s="114" t="str">
        <x:v>GPIO8_RESERVE</x:v>
      </x:c>
      <x:c r="D13" s="155" t="str">
        <x:v>I/O</x:v>
      </x:c>
      <x:c r="E13" s="113" t="str">
        <x:v>Dự phòng/test point</x:v>
      </x:c>
      <x:c r="F13" s="113" t="str">
        <x:v>Chỉ test point</x:v>
      </x:c>
      <x:c r="G13" s="113" t="str">
        <x:v>Strapping; không gắn pull ngoài</x:v>
      </x:c>
      <x:c r="H13" s="113" t="str">
        <x:v>PIN_RESERVE_8</x:v>
      </x:c>
      <x:c r="I13" s="113" t="str">
        <x:v>Đã chốt</x:v>
      </x:c>
      <x:c r="J13" s="115" t="str">
        <x:v>Không dùng cho tải ở v1</x:v>
      </x:c>
    </x:row>
    <x:row r="14">
      <x:c r="A14" s="152" t="n">
        <x:v>15</x:v>
      </x:c>
      <x:c r="B14" s="113" t="str">
        <x:v>GPIO9</x:v>
      </x:c>
      <x:c r="C14" s="114" t="str">
        <x:v>BOOT</x:v>
      </x:c>
      <x:c r="D14" s="155" t="str">
        <x:v>IN</x:v>
      </x:c>
      <x:c r="E14" s="113" t="str">
        <x:v>Nút vào bootloader</x:v>
      </x:c>
      <x:c r="F14" s="113" t="str">
        <x:v>Pull-up 10 kΩ; nút xuống GND</x:v>
      </x:c>
      <x:c r="G14" s="113" t="str">
        <x:v>Strapping/BOOT bắt buộc</x:v>
      </x:c>
      <x:c r="H14" s="113" t="str">
        <x:v>PIN_BOOT</x:v>
      </x:c>
      <x:c r="I14" s="113" t="str">
        <x:v>Đã chốt</x:v>
      </x:c>
      <x:c r="J14" s="115" t="str">
        <x:v>Không dùng cho chức năng khác</x:v>
      </x:c>
    </x:row>
    <x:row r="15">
      <x:c r="A15" s="152" t="n">
        <x:v>16</x:v>
      </x:c>
      <x:c r="B15" s="113" t="str">
        <x:v>GPIO10</x:v>
      </x:c>
      <x:c r="C15" s="114" t="str">
        <x:v>SR_LATCH</x:v>
      </x:c>
      <x:c r="D15" s="155" t="str">
        <x:v>OUT</x:v>
      </x:c>
      <x:c r="E15" s="113" t="str">
        <x:v>Latch 74HC595</x:v>
      </x:c>
      <x:c r="F15" s="113" t="str">
        <x:v>Nối RCLK</x:v>
      </x:c>
      <x:c r="G15" s="113" t="str">
        <x:v>Có glitch thấp rất ngắn lúc cấp nguồn</x:v>
      </x:c>
      <x:c r="H15" s="113" t="str">
        <x:v>PIN_SR_LATCH</x:v>
      </x:c>
      <x:c r="I15" s="113" t="str">
        <x:v>Đã chốt</x:v>
      </x:c>
      <x:c r="J15" s="115" t="str">
        <x:v>Thêm pull-down 100 kΩ nếu LED chớp lúc boot</x:v>
      </x:c>
    </x:row>
    <x:row r="16">
      <x:c r="A16" s="152" t="n">
        <x:v>18</x:v>
      </x:c>
      <x:c r="B16" s="113" t="str">
        <x:v>VDD_SPI/GPIO11</x:v>
      </x:c>
      <x:c r="C16" s="114" t="str">
        <x:v>VDD_SPI</x:v>
      </x:c>
      <x:c r="D16" s="155" t="str">
        <x:v>PWR</x:v>
      </x:c>
      <x:c r="E16" s="113" t="str">
        <x:v>Nguồn flash trong package</x:v>
      </x:c>
      <x:c r="F16" s="113" t="str">
        <x:v>1 µF sát chân</x:v>
      </x:c>
      <x:c r="G16" s="113" t="str">
        <x:v>Không dùng như GPIO với FH4X</x:v>
      </x:c>
      <x:c r="H16" s="113" t="str">
        <x:v>–</x:v>
      </x:c>
      <x:c r="I16" s="113" t="str">
        <x:v>Đã chốt</x:v>
      </x:c>
      <x:c r="J16" s="115" t="str">
        <x:v>Nối theo reference schematic</x:v>
      </x:c>
    </x:row>
    <x:row r="17">
      <x:c r="A17" s="152" t="n">
        <x:v>19</x:v>
      </x:c>
      <x:c r="B17" s="113" t="str">
        <x:v>GPIO12</x:v>
      </x:c>
      <x:c r="C17" s="114" t="str">
        <x:v>NC</x:v>
      </x:c>
      <x:c r="D17" s="155" t="str">
        <x:v>–</x:v>
      </x:c>
      <x:c r="E17" s="113" t="str">
        <x:v>Không nối</x:v>
      </x:c>
      <x:c r="F17" s="113" t="str">
        <x:v>NC</x:v>
      </x:c>
      <x:c r="G17" s="113" t="str">
        <x:v>Không bond ở ESP32-C3FH4X</x:v>
      </x:c>
      <x:c r="H17" s="113" t="str">
        <x:v>–</x:v>
      </x:c>
      <x:c r="I17" s="113" t="str">
        <x:v>Đã chốt</x:v>
      </x:c>
      <x:c r="J17" s="115" t="str">
        <x:v>Không đặt net</x:v>
      </x:c>
    </x:row>
    <x:row r="18">
      <x:c r="A18" s="152" t="n">
        <x:v>20</x:v>
      </x:c>
      <x:c r="B18" s="113" t="str">
        <x:v>GPIO13</x:v>
      </x:c>
      <x:c r="C18" s="114" t="str">
        <x:v>NC</x:v>
      </x:c>
      <x:c r="D18" s="155" t="str">
        <x:v>–</x:v>
      </x:c>
      <x:c r="E18" s="113" t="str">
        <x:v>Không nối</x:v>
      </x:c>
      <x:c r="F18" s="113" t="str">
        <x:v>NC</x:v>
      </x:c>
      <x:c r="G18" s="113" t="str">
        <x:v>Không bond ở ESP32-C3FH4X</x:v>
      </x:c>
      <x:c r="H18" s="113" t="str">
        <x:v>–</x:v>
      </x:c>
      <x:c r="I18" s="113" t="str">
        <x:v>Đã chốt</x:v>
      </x:c>
      <x:c r="J18" s="115" t="str">
        <x:v>Không đặt net</x:v>
      </x:c>
    </x:row>
    <x:row r="19">
      <x:c r="A19" s="152" t="n">
        <x:v>21</x:v>
      </x:c>
      <x:c r="B19" s="113" t="str">
        <x:v>GPIO14</x:v>
      </x:c>
      <x:c r="C19" s="114" t="str">
        <x:v>NC</x:v>
      </x:c>
      <x:c r="D19" s="155" t="str">
        <x:v>–</x:v>
      </x:c>
      <x:c r="E19" s="113" t="str">
        <x:v>Không nối</x:v>
      </x:c>
      <x:c r="F19" s="113" t="str">
        <x:v>NC</x:v>
      </x:c>
      <x:c r="G19" s="113" t="str">
        <x:v>Không bond ở ESP32-C3FH4X</x:v>
      </x:c>
      <x:c r="H19" s="113" t="str">
        <x:v>–</x:v>
      </x:c>
      <x:c r="I19" s="113" t="str">
        <x:v>Đã chốt</x:v>
      </x:c>
      <x:c r="J19" s="115" t="str">
        <x:v>Không đặt net</x:v>
      </x:c>
    </x:row>
    <x:row r="20">
      <x:c r="A20" s="152" t="n">
        <x:v>22</x:v>
      </x:c>
      <x:c r="B20" s="113" t="str">
        <x:v>GPIO15</x:v>
      </x:c>
      <x:c r="C20" s="114" t="str">
        <x:v>NC</x:v>
      </x:c>
      <x:c r="D20" s="155" t="str">
        <x:v>–</x:v>
      </x:c>
      <x:c r="E20" s="113" t="str">
        <x:v>Không nối</x:v>
      </x:c>
      <x:c r="F20" s="113" t="str">
        <x:v>NC</x:v>
      </x:c>
      <x:c r="G20" s="113" t="str">
        <x:v>Không bond ở ESP32-C3FH4X</x:v>
      </x:c>
      <x:c r="H20" s="113" t="str">
        <x:v>–</x:v>
      </x:c>
      <x:c r="I20" s="113" t="str">
        <x:v>Đã chốt</x:v>
      </x:c>
      <x:c r="J20" s="115" t="str">
        <x:v>Không đặt net</x:v>
      </x:c>
    </x:row>
    <x:row r="21">
      <x:c r="A21" s="152" t="n">
        <x:v>23</x:v>
      </x:c>
      <x:c r="B21" s="113" t="str">
        <x:v>GPIO16</x:v>
      </x:c>
      <x:c r="C21" s="114" t="str">
        <x:v>NC</x:v>
      </x:c>
      <x:c r="D21" s="155" t="str">
        <x:v>–</x:v>
      </x:c>
      <x:c r="E21" s="113" t="str">
        <x:v>Không nối</x:v>
      </x:c>
      <x:c r="F21" s="113" t="str">
        <x:v>NC</x:v>
      </x:c>
      <x:c r="G21" s="113" t="str">
        <x:v>Không bond ở ESP32-C3FH4X</x:v>
      </x:c>
      <x:c r="H21" s="113" t="str">
        <x:v>–</x:v>
      </x:c>
      <x:c r="I21" s="113" t="str">
        <x:v>Đã chốt</x:v>
      </x:c>
      <x:c r="J21" s="115" t="str">
        <x:v>Không đặt net</x:v>
      </x:c>
    </x:row>
    <x:row r="22">
      <x:c r="A22" s="152" t="n">
        <x:v>24</x:v>
      </x:c>
      <x:c r="B22" s="113" t="str">
        <x:v>GPIO17</x:v>
      </x:c>
      <x:c r="C22" s="114" t="str">
        <x:v>NC</x:v>
      </x:c>
      <x:c r="D22" s="155" t="str">
        <x:v>–</x:v>
      </x:c>
      <x:c r="E22" s="113" t="str">
        <x:v>Không nối</x:v>
      </x:c>
      <x:c r="F22" s="113" t="str">
        <x:v>NC</x:v>
      </x:c>
      <x:c r="G22" s="113" t="str">
        <x:v>Không bond ở ESP32-C3FH4X</x:v>
      </x:c>
      <x:c r="H22" s="113" t="str">
        <x:v>–</x:v>
      </x:c>
      <x:c r="I22" s="113" t="str">
        <x:v>Đã chốt</x:v>
      </x:c>
      <x:c r="J22" s="115" t="str">
        <x:v>Không đặt net</x:v>
      </x:c>
    </x:row>
    <x:row r="23">
      <x:c r="A23" s="152" t="n">
        <x:v>25</x:v>
      </x:c>
      <x:c r="B23" s="113" t="str">
        <x:v>GPIO18</x:v>
      </x:c>
      <x:c r="C23" s="114" t="str">
        <x:v>USB_DN</x:v>
      </x:c>
      <x:c r="D23" s="155" t="str">
        <x:v>I/O</x:v>
      </x:c>
      <x:c r="E23" s="113" t="str">
        <x:v>USB D−/Serial-JTAG</x:v>
      </x:c>
      <x:c r="F23" s="113" t="str">
        <x:v>Series 22 Ω + USB TVS</x:v>
      </x:c>
      <x:c r="G23" s="113" t="str">
        <x:v>USB mặc định</x:v>
      </x:c>
      <x:c r="H23" s="113" t="str">
        <x:v>PIN_USB_DN</x:v>
      </x:c>
      <x:c r="I23" s="113" t="str">
        <x:v>Đã chốt</x:v>
      </x:c>
      <x:c r="J23" s="115" t="str">
        <x:v>Đi cặp vi sai với GPIO19</x:v>
      </x:c>
    </x:row>
    <x:row r="24">
      <x:c r="A24" s="152" t="n">
        <x:v>26</x:v>
      </x:c>
      <x:c r="B24" s="113" t="str">
        <x:v>GPIO19</x:v>
      </x:c>
      <x:c r="C24" s="114" t="str">
        <x:v>USB_DP</x:v>
      </x:c>
      <x:c r="D24" s="155" t="str">
        <x:v>I/O</x:v>
      </x:c>
      <x:c r="E24" s="113" t="str">
        <x:v>USB D+/Serial-JTAG</x:v>
      </x:c>
      <x:c r="F24" s="113" t="str">
        <x:v>Series 22 Ω + USB TVS</x:v>
      </x:c>
      <x:c r="G24" s="113" t="str">
        <x:v>USB mặc định</x:v>
      </x:c>
      <x:c r="H24" s="113" t="str">
        <x:v>PIN_USB_DP</x:v>
      </x:c>
      <x:c r="I24" s="113" t="str">
        <x:v>Đã chốt</x:v>
      </x:c>
      <x:c r="J24" s="115" t="str">
        <x:v>Đi cặp vi sai với GPIO18</x:v>
      </x:c>
    </x:row>
    <x:row r="25">
      <x:c r="A25" s="152" t="n">
        <x:v>27</x:v>
      </x:c>
      <x:c r="B25" s="113" t="str">
        <x:v>GPIO20/U0RXD</x:v>
      </x:c>
      <x:c r="C25" s="114" t="str">
        <x:v>UART_RX_TP</x:v>
      </x:c>
      <x:c r="D25" s="155" t="str">
        <x:v>IN</x:v>
      </x:c>
      <x:c r="E25" s="113" t="str">
        <x:v>UART debug dự phòng</x:v>
      </x:c>
      <x:c r="F25" s="113" t="str">
        <x:v>Test point</x:v>
      </x:c>
      <x:c r="G25" s="113" t="str">
        <x:v>UART0 log</x:v>
      </x:c>
      <x:c r="H25" s="113" t="str">
        <x:v>PIN_UART_RX</x:v>
      </x:c>
      <x:c r="I25" s="113" t="str">
        <x:v>Đã chốt</x:v>
      </x:c>
      <x:c r="J25" s="115" t="str">
        <x:v>Không gắn tải cố định</x:v>
      </x:c>
    </x:row>
    <x:row r="26">
      <x:c r="A26" s="153" t="n">
        <x:v>28</x:v>
      </x:c>
      <x:c r="B26" s="117" t="str">
        <x:v>GPIO21/U0TXD</x:v>
      </x:c>
      <x:c r="C26" s="118" t="str">
        <x:v>UART_TX_TP</x:v>
      </x:c>
      <x:c r="D26" s="156" t="str">
        <x:v>OUT</x:v>
      </x:c>
      <x:c r="E26" s="117" t="str">
        <x:v>UART debug dự phòng</x:v>
      </x:c>
      <x:c r="F26" s="117" t="str">
        <x:v>Test point</x:v>
      </x:c>
      <x:c r="G26" s="117" t="str">
        <x:v>UART0 log</x:v>
      </x:c>
      <x:c r="H26" s="117" t="str">
        <x:v>PIN_UART_TX</x:v>
      </x:c>
      <x:c r="I26" s="117" t="str">
        <x:v>Đã chốt</x:v>
      </x:c>
      <x:c r="J26" s="119" t="str">
        <x:v>Không gắn tải cố định</x:v>
      </x:c>
    </x:row>
  </x:sheetData>
  <x:mergeCells>
    <x:mergeCell ref="A1:J1"/>
    <x:mergeCell ref="A2:J2"/>
  </x:mergeCells>
  <x:conditionalFormatting sqref="I5:I26">
    <x:cfRule type="containsText" dxfId="2" priority="1" operator="containsText" text="Đã chốt"/>
    <x:cfRule type="containsText" dxfId="3" priority="2" operator="containsText" text="Cần xác nhận"/>
  </x:conditionalFormatting>
  <x:dataValidations count="1">
    <x:dataValidation type="list" sqref="I5:I26">
      <x:formula1>"Đã chốt,Cần xác nhận,Không dùng"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cf84f503d044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42" hidden="0" customWidth="1"/>
    <x:col min="7" max="7" width="18" hidden="0" customWidth="1"/>
    <x:col min="8" max="8" width="12" hidden="0" customWidth="1"/>
    <x:col min="9" max="9" width="14" hidden="0" customWidth="1"/>
    <x:col min="10" max="10" width="17" hidden="0" customWidth="1"/>
    <x:col min="11" max="11" width="32" hidden="0" customWidth="1"/>
    <x:col min="12" max="12" width="44" hidden="0" customWidth="1"/>
    <x:col min="13" max="13" width="15" hidden="0" customWidth="1"/>
    <x:col min="14" max="14" width="16" hidden="0" customWidth="1"/>
  </x:cols>
  <x:sheetData>
    <x:row r="1" ht="32" customHeight="1">
      <x:c r="A1" s="149" t="str">
        <x:v>KT-10 – BOM SƠ BỘ v0.1</x:v>
      </x:c>
      <x:c r="B1" s="149" t="str">
        <x:v>KT-10 – BOM SƠ BỘ v0.1</x:v>
      </x:c>
      <x:c r="C1" s="149" t="str">
        <x:v>KT-10 – BOM SƠ BỘ v0.1</x:v>
      </x:c>
      <x:c r="D1" s="149" t="str">
        <x:v>KT-10 – BOM SƠ BỘ v0.1</x:v>
      </x:c>
      <x:c r="E1" s="149" t="str">
        <x:v>KT-10 – BOM SƠ BỘ v0.1</x:v>
      </x:c>
      <x:c r="F1" s="149" t="str">
        <x:v>KT-10 – BOM SƠ BỘ v0.1</x:v>
      </x:c>
      <x:c r="G1" s="149" t="str">
        <x:v>KT-10 – BOM SƠ BỘ v0.1</x:v>
      </x:c>
      <x:c r="H1" s="149" t="str">
        <x:v>KT-10 – BOM SƠ BỘ v0.1</x:v>
      </x:c>
      <x:c r="I1" s="149" t="str">
        <x:v>KT-10 – BOM SƠ BỘ v0.1</x:v>
      </x:c>
      <x:c r="J1" s="149" t="str">
        <x:v>KT-10 – BOM SƠ BỘ v0.1</x:v>
      </x:c>
      <x:c r="K1" s="149" t="str">
        <x:v>KT-10 – BOM SƠ BỘ v0.1</x:v>
      </x:c>
      <x:c r="L1" s="149" t="str">
        <x:v>KT-10 – BOM SƠ BỘ v0.1</x:v>
      </x:c>
      <x:c r="M1" s="149" t="str">
        <x:v>KT-10 – BOM SƠ BỘ v0.1</x:v>
      </x:c>
      <x:c r="N1" s="149" t="str">
        <x:v>KT-10 – BOM SƠ BỘ v0.1</x:v>
      </x:c>
    </x:row>
    <x:row r="2" ht="28" customHeight="1">
      <x:c r="A2" s="105" t="str">
        <x:v>Ô vàng cần nhập/xác nhận; chưa đặt hàng trước khi mã linh kiện, package, anten, pin và dòng sạc được chốt</x:v>
      </x:c>
      <x:c r="B2" s="105" t="str">
        <x:v>Ô vàng cần nhập/xác nhận; chưa đặt hàng trước khi mã linh kiện, package, anten, pin và dòng sạc được chốt</x:v>
      </x:c>
      <x:c r="C2" s="105" t="str">
        <x:v>Ô vàng cần nhập/xác nhận; chưa đặt hàng trước khi mã linh kiện, package, anten, pin và dòng sạc được chốt</x:v>
      </x:c>
      <x:c r="D2" s="105" t="str">
        <x:v>Ô vàng cần nhập/xác nhận; chưa đặt hàng trước khi mã linh kiện, package, anten, pin và dòng sạc được chốt</x:v>
      </x:c>
      <x:c r="E2" s="105" t="str">
        <x:v>Ô vàng cần nhập/xác nhận; chưa đặt hàng trước khi mã linh kiện, package, anten, pin và dòng sạc được chốt</x:v>
      </x:c>
      <x:c r="F2" s="105" t="str">
        <x:v>Ô vàng cần nhập/xác nhận; chưa đặt hàng trước khi mã linh kiện, package, anten, pin và dòng sạc được chốt</x:v>
      </x:c>
      <x:c r="G2" s="105" t="str">
        <x:v>Ô vàng cần nhập/xác nhận; chưa đặt hàng trước khi mã linh kiện, package, anten, pin và dòng sạc được chốt</x:v>
      </x:c>
      <x:c r="H2" s="105" t="str">
        <x:v>Ô vàng cần nhập/xác nhận; chưa đặt hàng trước khi mã linh kiện, package, anten, pin và dòng sạc được chốt</x:v>
      </x:c>
      <x:c r="I2" s="105" t="str">
        <x:v>Ô vàng cần nhập/xác nhận; chưa đặt hàng trước khi mã linh kiện, package, anten, pin và dòng sạc được chốt</x:v>
      </x:c>
      <x:c r="J2" s="105" t="str">
        <x:v>Ô vàng cần nhập/xác nhận; chưa đặt hàng trước khi mã linh kiện, package, anten, pin và dòng sạc được chốt</x:v>
      </x:c>
      <x:c r="K2" s="105" t="str">
        <x:v>Ô vàng cần nhập/xác nhận; chưa đặt hàng trước khi mã linh kiện, package, anten, pin và dòng sạc được chốt</x:v>
      </x:c>
      <x:c r="L2" s="105" t="str">
        <x:v>Ô vàng cần nhập/xác nhận; chưa đặt hàng trước khi mã linh kiện, package, anten, pin và dòng sạc được chốt</x:v>
      </x:c>
      <x:c r="M2" s="105" t="str">
        <x:v>Ô vàng cần nhập/xác nhận; chưa đặt hàng trước khi mã linh kiện, package, anten, pin và dòng sạc được chốt</x:v>
      </x:c>
      <x:c r="N2" s="105" t="str">
        <x:v>Ô vàng cần nhập/xác nhận; chưa đặt hàng trước khi mã linh kiện, package, anten, pin và dòng sạc được chốt</x:v>
      </x:c>
    </x:row>
    <x:row r="3">
      <x:c r="A3" s="107" t="str">
        <x:v>STT</x:v>
      </x:c>
      <x:c r="B3" s="107" t="str">
        <x:v>RefDes</x:v>
      </x:c>
      <x:c r="C3" s="107" t="str">
        <x:v>Khối</x:v>
      </x:c>
      <x:c r="D3" s="107" t="str">
        <x:v>Mã linh kiện/MPN</x:v>
      </x:c>
      <x:c r="E3" s="107" t="str">
        <x:v>Hãng</x:v>
      </x:c>
      <x:c r="F3" s="107" t="str">
        <x:v>Mô tả/Giá trị</x:v>
      </x:c>
      <x:c r="G3" s="107" t="str">
        <x:v>Package</x:v>
      </x:c>
      <x:c r="H3" s="107" t="str">
        <x:v>SL/thiết bị</x:v>
      </x:c>
      <x:c r="I3" s="107" t="str">
        <x:v>PCB</x:v>
      </x:c>
      <x:c r="J3" s="107" t="str">
        <x:v>Trạng thái</x:v>
      </x:c>
      <x:c r="K3" s="107" t="str">
        <x:v>Thay thế</x:v>
      </x:c>
      <x:c r="L3" s="107" t="str">
        <x:v>Nguồn/Datasheet</x:v>
      </x:c>
      <x:c r="M3" s="107" t="str">
        <x:v>Đơn giá (VND)</x:v>
      </x:c>
      <x:c r="N3" s="107" t="str">
        <x:v>Thành tiền</x:v>
      </x:c>
    </x:row>
    <x:row r="4">
      <x:c r="A4" s="151" t="n">
        <x:v>1</x:v>
      </x:c>
      <x:c r="B4" s="109" t="str">
        <x:v>U1</x:v>
      </x:c>
      <x:c r="C4" s="109" t="str">
        <x:v>MCU</x:v>
      </x:c>
      <x:c r="D4" s="110" t="str">
        <x:v>ESP32-C3FH4X</x:v>
      </x:c>
      <x:c r="E4" s="109" t="str">
        <x:v>Espressif</x:v>
      </x:c>
      <x:c r="F4" s="109" t="str">
        <x:v>MCU Wi-Fi/BLE, Flash 4 MB trong package</x:v>
      </x:c>
      <x:c r="G4" s="109" t="str">
        <x:v>QFN-32</x:v>
      </x:c>
      <x:c r="H4" s="154" t="n">
        <x:v>1</x:v>
      </x:c>
      <x:c r="I4" s="154" t="str">
        <x:v>Main</x:v>
      </x:c>
      <x:c r="J4" s="154" t="str">
        <x:v>Đã chốt</x:v>
      </x:c>
      <x:c r="K4" s="109" t="str">
        <x:v>ESP32-C3FH4 (cần kiểm tra nhiệt độ)</x:v>
      </x:c>
      <x:c r="L4" s="109" t="str">
        <x:v>https://www.espressif.com/sites/default/files/documentation/esp32-c3_datasheet_en.pdf</x:v>
      </x:c>
      <x:c r="M4" s="135"/>
      <x:c r="N4" s="136" t="n">
        <x:f>IF(OR(H4="",M4=""),0,H4*M4)</x:f>
        <x:v>0</x:v>
      </x:c>
    </x:row>
    <x:row r="5">
      <x:c r="A5" s="152" t="n">
        <x:v>2</x:v>
      </x:c>
      <x:c r="B5" s="113" t="str">
        <x:v>Y1</x:v>
      </x:c>
      <x:c r="C5" s="113" t="str">
        <x:v>MCU</x:v>
      </x:c>
      <x:c r="D5" s="114" t="str">
        <x:v>TBD-40MHz-10ppm</x:v>
      </x:c>
      <x:c r="E5" s="113" t="str">
        <x:v>TBD</x:v>
      </x:c>
      <x:c r="F5" s="113" t="str">
        <x:v>Crystal 40 MHz, ±10 ppm; CL cần tính theo part thực</x:v>
      </x:c>
      <x:c r="G5" s="113" t="str">
        <x:v>SMD 3225/2016</x:v>
      </x:c>
      <x:c r="H5" s="155" t="n">
        <x:v>1</x:v>
      </x:c>
      <x:c r="I5" s="155" t="str">
        <x:v>Main</x:v>
      </x:c>
      <x:c r="J5" s="155" t="str">
        <x:v>Cần xác nhận</x:v>
      </x:c>
      <x:c r="K5" s="113" t="str">
        <x:v>Part tương đương cùng CL/ESR</x:v>
      </x:c>
      <x:c r="L5" s="113" t="str">
        <x:v>https://docs.espressif.com/projects/esp-hardware-design-guidelines/en/latest/esp32c3/schematic-checklist.html</x:v>
      </x:c>
      <x:c r="M5" s="137"/>
      <x:c r="N5" s="138" t="n">
        <x:f>IF(OR(H5="",M5=""),0,H5*M5)</x:f>
        <x:v>0</x:v>
      </x:c>
    </x:row>
    <x:row r="6">
      <x:c r="A6" s="152" t="n">
        <x:v>3</x:v>
      </x:c>
      <x:c r="B6" s="113" t="str">
        <x:v>C_X1,C_X2</x:v>
      </x:c>
      <x:c r="C6" s="113" t="str">
        <x:v>MCU</x:v>
      </x:c>
      <x:c r="D6" s="114" t="str">
        <x:v>Generic</x:v>
      </x:c>
      <x:c r="E6" s="113" t="str">
        <x:v>–</x:v>
      </x:c>
      <x:c r="F6" s="113" t="str">
        <x:v>Tụ tải crystal; giá trị tính theo CL và ký sinh</x:v>
      </x:c>
      <x:c r="G6" s="113" t="str">
        <x:v>0402 C0G</x:v>
      </x:c>
      <x:c r="H6" s="155" t="n">
        <x:v>2</x:v>
      </x:c>
      <x:c r="I6" s="155" t="str">
        <x:v>Main</x:v>
      </x:c>
      <x:c r="J6" s="155" t="str">
        <x:v>Cần xác nhận</x:v>
      </x:c>
      <x:c r="K6" s="113" t="str">
        <x:v>DNP để tuning</x:v>
      </x:c>
      <x:c r="L6" s="113" t="str">
        <x:v>https://docs.espressif.com/projects/esp-hardware-design-guidelines/en/latest/esp32c3/schematic-checklist.html</x:v>
      </x:c>
      <x:c r="M6" s="137"/>
      <x:c r="N6" s="138" t="n">
        <x:f>IF(OR(H6="",M6=""),0,H6*M6)</x:f>
        <x:v>0</x:v>
      </x:c>
    </x:row>
    <x:row r="7">
      <x:c r="A7" s="152" t="n">
        <x:v>4</x:v>
      </x:c>
      <x:c r="B7" s="113" t="str">
        <x:v>C_DEC1:C_DEC6</x:v>
      </x:c>
      <x:c r="C7" s="113" t="str">
        <x:v>MCU</x:v>
      </x:c>
      <x:c r="D7" s="114" t="str">
        <x:v>Generic</x:v>
      </x:c>
      <x:c r="E7" s="113" t="str">
        <x:v>–</x:v>
      </x:c>
      <x:c r="F7" s="113" t="str">
        <x:v>100 nF X7R decoupling</x:v>
      </x:c>
      <x:c r="G7" s="113" t="str">
        <x:v>0402</x:v>
      </x:c>
      <x:c r="H7" s="155" t="n">
        <x:v>6</x:v>
      </x:c>
      <x:c r="I7" s="155" t="str">
        <x:v>Main</x:v>
      </x:c>
      <x:c r="J7" s="155" t="str">
        <x:v>Đã chốt</x:v>
      </x:c>
      <x:c r="K7" s="113" t="str">
        <x:v>Murata/Samsung/Yageo tương đương</x:v>
      </x:c>
      <x:c r="L7" s="113" t="str"/>
      <x:c r="M7" s="137"/>
      <x:c r="N7" s="138" t="n">
        <x:f>IF(OR(H7="",M7=""),0,H7*M7)</x:f>
        <x:v>0</x:v>
      </x:c>
    </x:row>
    <x:row r="8">
      <x:c r="A8" s="152" t="n">
        <x:v>5</x:v>
      </x:c>
      <x:c r="B8" s="113" t="str">
        <x:v>C_MCU1,C_MCU2</x:v>
      </x:c>
      <x:c r="C8" s="113" t="str">
        <x:v>MCU</x:v>
      </x:c>
      <x:c r="D8" s="114" t="str">
        <x:v>Generic</x:v>
      </x:c>
      <x:c r="E8" s="113" t="str">
        <x:v>–</x:v>
      </x:c>
      <x:c r="F8" s="113" t="str">
        <x:v>10 µF 6,3 V X7R</x:v>
      </x:c>
      <x:c r="G8" s="113" t="str">
        <x:v>0603</x:v>
      </x:c>
      <x:c r="H8" s="155" t="n">
        <x:v>2</x:v>
      </x:c>
      <x:c r="I8" s="155" t="str">
        <x:v>Main</x:v>
      </x:c>
      <x:c r="J8" s="155" t="str">
        <x:v>Đã chốt</x:v>
      </x:c>
      <x:c r="K8" s="113" t="str">
        <x:v>Tụ cùng điện dung/điện áp</x:v>
      </x:c>
      <x:c r="L8" s="113" t="str"/>
      <x:c r="M8" s="137"/>
      <x:c r="N8" s="138" t="n">
        <x:f>IF(OR(H8="",M8=""),0,H8*M8)</x:f>
        <x:v>0</x:v>
      </x:c>
    </x:row>
    <x:row r="9">
      <x:c r="A9" s="152" t="n">
        <x:v>6</x:v>
      </x:c>
      <x:c r="B9" s="113" t="str">
        <x:v>R_EN</x:v>
      </x:c>
      <x:c r="C9" s="113" t="str">
        <x:v>MCU</x:v>
      </x:c>
      <x:c r="D9" s="114" t="str">
        <x:v>Generic</x:v>
      </x:c>
      <x:c r="E9" s="113" t="str">
        <x:v>–</x:v>
      </x:c>
      <x:c r="F9" s="113" t="str">
        <x:v>10 kΩ 1% pull-up CHIP_EN</x:v>
      </x:c>
      <x:c r="G9" s="113" t="str">
        <x:v>0402</x:v>
      </x:c>
      <x:c r="H9" s="155" t="n">
        <x:v>1</x:v>
      </x:c>
      <x:c r="I9" s="155" t="str">
        <x:v>Main</x:v>
      </x:c>
      <x:c r="J9" s="155" t="str">
        <x:v>Đã chốt</x:v>
      </x:c>
      <x:c r="K9" s="113" t="str">
        <x:v>–</x:v>
      </x:c>
      <x:c r="L9" s="113" t="str"/>
      <x:c r="M9" s="137"/>
      <x:c r="N9" s="138" t="n">
        <x:f>IF(OR(H9="",M9=""),0,H9*M9)</x:f>
        <x:v>0</x:v>
      </x:c>
    </x:row>
    <x:row r="10">
      <x:c r="A10" s="152" t="n">
        <x:v>7</x:v>
      </x:c>
      <x:c r="B10" s="113" t="str">
        <x:v>C_EN</x:v>
      </x:c>
      <x:c r="C10" s="113" t="str">
        <x:v>MCU</x:v>
      </x:c>
      <x:c r="D10" s="114" t="str">
        <x:v>Generic</x:v>
      </x:c>
      <x:c r="E10" s="113" t="str">
        <x:v>–</x:v>
      </x:c>
      <x:c r="F10" s="113" t="str">
        <x:v>1 µF X7R tạo trễ CHIP_EN</x:v>
      </x:c>
      <x:c r="G10" s="113" t="str">
        <x:v>0402/0603</x:v>
      </x:c>
      <x:c r="H10" s="155" t="n">
        <x:v>1</x:v>
      </x:c>
      <x:c r="I10" s="155" t="str">
        <x:v>Main</x:v>
      </x:c>
      <x:c r="J10" s="155" t="str">
        <x:v>Đã chốt</x:v>
      </x:c>
      <x:c r="K10" s="113" t="str">
        <x:v>–</x:v>
      </x:c>
      <x:c r="L10" s="113" t="str"/>
      <x:c r="M10" s="137"/>
      <x:c r="N10" s="138" t="n">
        <x:f>IF(OR(H10="",M10=""),0,H10*M10)</x:f>
        <x:v>0</x:v>
      </x:c>
    </x:row>
    <x:row r="11">
      <x:c r="A11" s="152" t="n">
        <x:v>8</x:v>
      </x:c>
      <x:c r="B11" s="113" t="str">
        <x:v>SW_BOOT,SW_RST</x:v>
      </x:c>
      <x:c r="C11" s="113" t="str">
        <x:v>MCU</x:v>
      </x:c>
      <x:c r="D11" s="114" t="str">
        <x:v>TS-1187A-B-A-B</x:v>
      </x:c>
      <x:c r="E11" s="113" t="str">
        <x:v>XKB/Equivalent</x:v>
      </x:c>
      <x:c r="F11" s="113" t="str">
        <x:v>Nút nhấn SMD BOOT và RESET</x:v>
      </x:c>
      <x:c r="G11" s="113" t="str">
        <x:v>SMD 4.5x4.5</x:v>
      </x:c>
      <x:c r="H11" s="155" t="n">
        <x:v>2</x:v>
      </x:c>
      <x:c r="I11" s="155" t="str">
        <x:v>Main</x:v>
      </x:c>
      <x:c r="J11" s="155" t="str">
        <x:v>Cần xác nhận</x:v>
      </x:c>
      <x:c r="K11" s="113" t="str">
        <x:v>Nút SMD NO tương đương</x:v>
      </x:c>
      <x:c r="L11" s="113" t="str"/>
      <x:c r="M11" s="137"/>
      <x:c r="N11" s="138" t="n">
        <x:f>IF(OR(H11="",M11=""),0,H11*M11)</x:f>
        <x:v>0</x:v>
      </x:c>
    </x:row>
    <x:row r="12">
      <x:c r="A12" s="152" t="n">
        <x:v>9</x:v>
      </x:c>
      <x:c r="B12" s="113" t="str">
        <x:v>J_USB</x:v>
      </x:c>
      <x:c r="C12" s="113" t="str">
        <x:v>USB</x:v>
      </x:c>
      <x:c r="D12" s="114" t="str">
        <x:v>USB4105-GF-A</x:v>
      </x:c>
      <x:c r="E12" s="113" t="str">
        <x:v>GCT</x:v>
      </x:c>
      <x:c r="F12" s="113" t="str">
        <x:v>USB Type-C USB2.0 receptacle</x:v>
      </x:c>
      <x:c r="G12" s="113" t="str">
        <x:v>SMD</x:v>
      </x:c>
      <x:c r="H12" s="155" t="n">
        <x:v>1</x:v>
      </x:c>
      <x:c r="I12" s="155" t="str">
        <x:v>Main</x:v>
      </x:c>
      <x:c r="J12" s="155" t="str">
        <x:v>Cần xác nhận</x:v>
      </x:c>
      <x:c r="K12" s="113" t="str">
        <x:v>USB-C 16-pin tương đương, phải sửa footprint</x:v>
      </x:c>
      <x:c r="L12" s="113" t="str">
        <x:v>https://gct.co/connector/usb4105</x:v>
      </x:c>
      <x:c r="M12" s="137"/>
      <x:c r="N12" s="138" t="n">
        <x:f>IF(OR(H12="",M12=""),0,H12*M12)</x:f>
        <x:v>0</x:v>
      </x:c>
    </x:row>
    <x:row r="13">
      <x:c r="A13" s="152" t="n">
        <x:v>10</x:v>
      </x:c>
      <x:c r="B13" s="113" t="str">
        <x:v>R_CC1,R_CC2</x:v>
      </x:c>
      <x:c r="C13" s="113" t="str">
        <x:v>USB</x:v>
      </x:c>
      <x:c r="D13" s="114" t="str">
        <x:v>Generic</x:v>
      </x:c>
      <x:c r="E13" s="113" t="str">
        <x:v>–</x:v>
      </x:c>
      <x:c r="F13" s="113" t="str">
        <x:v>5,1 kΩ 1% cho CC1/CC2</x:v>
      </x:c>
      <x:c r="G13" s="113" t="str">
        <x:v>0402</x:v>
      </x:c>
      <x:c r="H13" s="155" t="n">
        <x:v>2</x:v>
      </x:c>
      <x:c r="I13" s="155" t="str">
        <x:v>Main</x:v>
      </x:c>
      <x:c r="J13" s="155" t="str">
        <x:v>Đã chốt</x:v>
      </x:c>
      <x:c r="K13" s="113" t="str">
        <x:v>–</x:v>
      </x:c>
      <x:c r="L13" s="113" t="str"/>
      <x:c r="M13" s="137"/>
      <x:c r="N13" s="138" t="n">
        <x:f>IF(OR(H13="",M13=""),0,H13*M13)</x:f>
        <x:v>0</x:v>
      </x:c>
    </x:row>
    <x:row r="14">
      <x:c r="A14" s="152" t="n">
        <x:v>11</x:v>
      </x:c>
      <x:c r="B14" s="113" t="str">
        <x:v>R_USB1,R_USB2</x:v>
      </x:c>
      <x:c r="C14" s="113" t="str">
        <x:v>USB</x:v>
      </x:c>
      <x:c r="D14" s="114" t="str">
        <x:v>Generic</x:v>
      </x:c>
      <x:c r="E14" s="113" t="str">
        <x:v>–</x:v>
      </x:c>
      <x:c r="F14" s="113" t="str">
        <x:v>22 Ω series USB D+/D−</x:v>
      </x:c>
      <x:c r="G14" s="113" t="str">
        <x:v>0402</x:v>
      </x:c>
      <x:c r="H14" s="155" t="n">
        <x:v>2</x:v>
      </x:c>
      <x:c r="I14" s="155" t="str">
        <x:v>Main</x:v>
      </x:c>
      <x:c r="J14" s="155" t="str">
        <x:v>Đã chốt</x:v>
      </x:c>
      <x:c r="K14" s="113" t="str">
        <x:v>33 Ω nếu cần tuning</x:v>
      </x:c>
      <x:c r="L14" s="113" t="str"/>
      <x:c r="M14" s="137"/>
      <x:c r="N14" s="138" t="n">
        <x:f>IF(OR(H14="",M14=""),0,H14*M14)</x:f>
        <x:v>0</x:v>
      </x:c>
    </x:row>
    <x:row r="15">
      <x:c r="A15" s="152" t="n">
        <x:v>12</x:v>
      </x:c>
      <x:c r="B15" s="113" t="str">
        <x:v>D_USB</x:v>
      </x:c>
      <x:c r="C15" s="113" t="str">
        <x:v>USB</x:v>
      </x:c>
      <x:c r="D15" s="114" t="str">
        <x:v>USBLC6-2SC6</x:v>
      </x:c>
      <x:c r="E15" s="113" t="str">
        <x:v>STMicroelectronics</x:v>
      </x:c>
      <x:c r="F15" s="113" t="str">
        <x:v>TVS điện dung thấp 2 kênh cho USB</x:v>
      </x:c>
      <x:c r="G15" s="113" t="str">
        <x:v>SOT-23-6</x:v>
      </x:c>
      <x:c r="H15" s="155" t="n">
        <x:v>1</x:v>
      </x:c>
      <x:c r="I15" s="155" t="str">
        <x:v>Main</x:v>
      </x:c>
      <x:c r="J15" s="155" t="str">
        <x:v>Cần xác nhận</x:v>
      </x:c>
      <x:c r="K15" s="113" t="str">
        <x:v>TPD2EUSB30DRTR</x:v>
      </x:c>
      <x:c r="L15" s="113" t="str">
        <x:v>https://www.st.com/en/protection-devices/usblc6-2.html</x:v>
      </x:c>
      <x:c r="M15" s="137"/>
      <x:c r="N15" s="138" t="n">
        <x:f>IF(OR(H15="",M15=""),0,H15*M15)</x:f>
        <x:v>0</x:v>
      </x:c>
    </x:row>
    <x:row r="16">
      <x:c r="A16" s="152" t="n">
        <x:v>13</x:v>
      </x:c>
      <x:c r="B16" s="113" t="str">
        <x:v>U_CHG</x:v>
      </x:c>
      <x:c r="C16" s="113" t="str">
        <x:v>Sạc pin</x:v>
      </x:c>
      <x:c r="D16" s="114" t="str">
        <x:v>MCP73831T-2ACI/OT</x:v>
      </x:c>
      <x:c r="E16" s="113" t="str">
        <x:v>Microchip</x:v>
      </x:c>
      <x:c r="F16" s="113" t="str">
        <x:v>Sạc Li-ion 4,2 V CC/CV</x:v>
      </x:c>
      <x:c r="G16" s="113" t="str">
        <x:v>SOT-23-5</x:v>
      </x:c>
      <x:c r="H16" s="155" t="n">
        <x:v>1</x:v>
      </x:c>
      <x:c r="I16" s="155" t="str">
        <x:v>Main</x:v>
      </x:c>
      <x:c r="J16" s="155" t="str">
        <x:v>Đã chốt</x:v>
      </x:c>
      <x:c r="K16" s="113" t="str">
        <x:v>MCP73832T-2ACI/OT</x:v>
      </x:c>
      <x:c r="L16" s="113" t="str">
        <x:v>https://ww1.microchip.com/downloads/en/DeviceDoc/MCP73831-Family-Data-Sheet-DS20001984H.pdf</x:v>
      </x:c>
      <x:c r="M16" s="137"/>
      <x:c r="N16" s="138" t="n">
        <x:f>IF(OR(H16="",M16=""),0,H16*M16)</x:f>
        <x:v>0</x:v>
      </x:c>
    </x:row>
    <x:row r="17">
      <x:c r="A17" s="152" t="n">
        <x:v>14</x:v>
      </x:c>
      <x:c r="B17" s="113" t="str">
        <x:v>R_PROG</x:v>
      </x:c>
      <x:c r="C17" s="113" t="str">
        <x:v>Sạc pin</x:v>
      </x:c>
      <x:c r="D17" s="114" t="str">
        <x:v>Generic</x:v>
      </x:c>
      <x:c r="E17" s="113" t="str">
        <x:v>–</x:v>
      </x:c>
      <x:c r="F17" s="113" t="str">
        <x:v>4,7 kΩ; dòng sạc xấp xỉ 200 mA, phải kiểm tra pin/YC-02</x:v>
      </x:c>
      <x:c r="G17" s="113" t="str">
        <x:v>0402</x:v>
      </x:c>
      <x:c r="H17" s="155" t="n">
        <x:v>1</x:v>
      </x:c>
      <x:c r="I17" s="155" t="str">
        <x:v>Main</x:v>
      </x:c>
      <x:c r="J17" s="155" t="str">
        <x:v>Cần xác nhận</x:v>
      </x:c>
      <x:c r="K17" s="113" t="str">
        <x:v>2 kΩ cho ~500 mA nếu được duyệt</x:v>
      </x:c>
      <x:c r="L17" s="113" t="str">
        <x:v>https://ww1.microchip.com/downloads/en/DeviceDoc/MCP73831-Family-Data-Sheet-DS20001984H.pdf</x:v>
      </x:c>
      <x:c r="M17" s="137"/>
      <x:c r="N17" s="138" t="n">
        <x:f>IF(OR(H17="",M17=""),0,H17*M17)</x:f>
        <x:v>0</x:v>
      </x:c>
    </x:row>
    <x:row r="18">
      <x:c r="A18" s="152" t="n">
        <x:v>15</x:v>
      </x:c>
      <x:c r="B18" s="113" t="str">
        <x:v>C_CHG_IN,C_CHG_OUT</x:v>
      </x:c>
      <x:c r="C18" s="113" t="str">
        <x:v>Sạc pin</x:v>
      </x:c>
      <x:c r="D18" s="114" t="str">
        <x:v>Generic</x:v>
      </x:c>
      <x:c r="E18" s="113" t="str">
        <x:v>–</x:v>
      </x:c>
      <x:c r="F18" s="113" t="str">
        <x:v>4,7 µF 10 V X7R</x:v>
      </x:c>
      <x:c r="G18" s="113" t="str">
        <x:v>0603</x:v>
      </x:c>
      <x:c r="H18" s="155" t="n">
        <x:v>2</x:v>
      </x:c>
      <x:c r="I18" s="155" t="str">
        <x:v>Main</x:v>
      </x:c>
      <x:c r="J18" s="155" t="str">
        <x:v>Đã chốt</x:v>
      </x:c>
      <x:c r="K18" s="113" t="str">
        <x:v>1–10 µF theo datasheet</x:v>
      </x:c>
      <x:c r="L18" s="113" t="str"/>
      <x:c r="M18" s="137"/>
      <x:c r="N18" s="138" t="n">
        <x:f>IF(OR(H18="",M18=""),0,H18*M18)</x:f>
        <x:v>0</x:v>
      </x:c>
    </x:row>
    <x:row r="19">
      <x:c r="A19" s="152" t="n">
        <x:v>16</x:v>
      </x:c>
      <x:c r="B19" s="113" t="str">
        <x:v>U_PROT</x:v>
      </x:c>
      <x:c r="C19" s="113" t="str">
        <x:v>Bảo vệ pin</x:v>
      </x:c>
      <x:c r="D19" s="114" t="str">
        <x:v>DW01A</x:v>
      </x:c>
      <x:c r="E19" s="113" t="str">
        <x:v>TBD</x:v>
      </x:c>
      <x:c r="F19" s="113" t="str">
        <x:v>IC bảo vệ 1 cell Li-ion</x:v>
      </x:c>
      <x:c r="G19" s="113" t="str">
        <x:v>SOT-23-6</x:v>
      </x:c>
      <x:c r="H19" s="155" t="n">
        <x:v>1</x:v>
      </x:c>
      <x:c r="I19" s="155" t="str">
        <x:v>Main</x:v>
      </x:c>
      <x:c r="J19" s="155" t="str">
        <x:v>Cần xác nhận</x:v>
      </x:c>
      <x:c r="K19" s="113" t="str">
        <x:v>FS312F-G</x:v>
      </x:c>
      <x:c r="L19" s="113" t="str"/>
      <x:c r="M19" s="137"/>
      <x:c r="N19" s="138" t="n">
        <x:f>IF(OR(H19="",M19=""),0,H19*M19)</x:f>
        <x:v>0</x:v>
      </x:c>
    </x:row>
    <x:row r="20">
      <x:c r="A20" s="152" t="n">
        <x:v>17</x:v>
      </x:c>
      <x:c r="B20" s="113" t="str">
        <x:v>Q_PROT</x:v>
      </x:c>
      <x:c r="C20" s="113" t="str">
        <x:v>Bảo vệ pin</x:v>
      </x:c>
      <x:c r="D20" s="114" t="str">
        <x:v>FS8205A</x:v>
      </x:c>
      <x:c r="E20" s="113" t="str">
        <x:v>TBD</x:v>
      </x:c>
      <x:c r="F20" s="113" t="str">
        <x:v>Dual N-MOSFET bảo vệ pin</x:v>
      </x:c>
      <x:c r="G20" s="113" t="str">
        <x:v>SOP-8</x:v>
      </x:c>
      <x:c r="H20" s="155" t="n">
        <x:v>1</x:v>
      </x:c>
      <x:c r="I20" s="155" t="str">
        <x:v>Main</x:v>
      </x:c>
      <x:c r="J20" s="155" t="str">
        <x:v>Cần xác nhận</x:v>
      </x:c>
      <x:c r="K20" s="113" t="str">
        <x:v>8205A tương đương có datasheet rõ</x:v>
      </x:c>
      <x:c r="L20" s="113" t="str"/>
      <x:c r="M20" s="137"/>
      <x:c r="N20" s="138" t="n">
        <x:f>IF(OR(H20="",M20=""),0,H20*M20)</x:f>
        <x:v>0</x:v>
      </x:c>
    </x:row>
    <x:row r="21">
      <x:c r="A21" s="152" t="n">
        <x:v>18</x:v>
      </x:c>
      <x:c r="B21" s="113" t="str">
        <x:v>U_REG</x:v>
      </x:c>
      <x:c r="C21" s="113" t="str">
        <x:v>Nguồn 3,3 V</x:v>
      </x:c>
      <x:c r="D21" s="114" t="str">
        <x:v>TPS63031DSKR</x:v>
      </x:c>
      <x:c r="E21" s="113" t="str">
        <x:v>Texas Instruments</x:v>
      </x:c>
      <x:c r="F21" s="113" t="str">
        <x:v>Buck-boost cố định 3,3 V</x:v>
      </x:c>
      <x:c r="G21" s="113" t="str">
        <x:v>WSON-10 2.5x2.5</x:v>
      </x:c>
      <x:c r="H21" s="155" t="n">
        <x:v>1</x:v>
      </x:c>
      <x:c r="I21" s="155" t="str">
        <x:v>Main</x:v>
      </x:c>
      <x:c r="J21" s="155" t="str">
        <x:v>Đã chốt</x:v>
      </x:c>
      <x:c r="K21" s="113" t="str">
        <x:v>TPS631000 – không pin-compatible</x:v>
      </x:c>
      <x:c r="L21" s="113" t="str">
        <x:v>https://www.ti.com/product/TPS63031</x:v>
      </x:c>
      <x:c r="M21" s="137"/>
      <x:c r="N21" s="138" t="n">
        <x:f>IF(OR(H21="",M21=""),0,H21*M21)</x:f>
        <x:v>0</x:v>
      </x:c>
    </x:row>
    <x:row r="22">
      <x:c r="A22" s="152" t="n">
        <x:v>19</x:v>
      </x:c>
      <x:c r="B22" s="113" t="str">
        <x:v>L_PWR</x:v>
      </x:c>
      <x:c r="C22" s="113" t="str">
        <x:v>Nguồn 3,3 V</x:v>
      </x:c>
      <x:c r="D22" s="114" t="str">
        <x:v>LPS3015-1R5MRB</x:v>
      </x:c>
      <x:c r="E22" s="113" t="str">
        <x:v>Coilcraft</x:v>
      </x:c>
      <x:c r="F22" s="113" t="str">
        <x:v>Cuộn cảm 1,5 µH; Isat phù hợp datasheet TPS63031</x:v>
      </x:c>
      <x:c r="G22" s="113" t="str">
        <x:v>SMD 3x3</x:v>
      </x:c>
      <x:c r="H22" s="155" t="n">
        <x:v>1</x:v>
      </x:c>
      <x:c r="I22" s="155" t="str">
        <x:v>Main</x:v>
      </x:c>
      <x:c r="J22" s="155" t="str">
        <x:v>Cần xác nhận</x:v>
      </x:c>
      <x:c r="K22" s="113" t="str">
        <x:v>Murata LQH3NP 1,5 µH tương đương</x:v>
      </x:c>
      <x:c r="L22" s="113" t="str">
        <x:v>https://www.ti.com/lit/ds/symlink/tps63030.pdf</x:v>
      </x:c>
      <x:c r="M22" s="137"/>
      <x:c r="N22" s="138" t="n">
        <x:f>IF(OR(H22="",M22=""),0,H22*M22)</x:f>
        <x:v>0</x:v>
      </x:c>
    </x:row>
    <x:row r="23">
      <x:c r="A23" s="152" t="n">
        <x:v>20</x:v>
      </x:c>
      <x:c r="B23" s="113" t="str">
        <x:v>C_PWR_IN</x:v>
      </x:c>
      <x:c r="C23" s="113" t="str">
        <x:v>Nguồn 3,3 V</x:v>
      </x:c>
      <x:c r="D23" s="114" t="str">
        <x:v>Generic</x:v>
      </x:c>
      <x:c r="E23" s="113" t="str">
        <x:v>–</x:v>
      </x:c>
      <x:c r="F23" s="113" t="str">
        <x:v>10 µF 6,3 V X7R</x:v>
      </x:c>
      <x:c r="G23" s="113" t="str">
        <x:v>0603</x:v>
      </x:c>
      <x:c r="H23" s="155" t="n">
        <x:v>1</x:v>
      </x:c>
      <x:c r="I23" s="155" t="str">
        <x:v>Main</x:v>
      </x:c>
      <x:c r="J23" s="155" t="str">
        <x:v>Đã chốt</x:v>
      </x:c>
      <x:c r="K23" s="113" t="str">
        <x:v>–</x:v>
      </x:c>
      <x:c r="L23" s="113" t="str">
        <x:v>https://www.ti.com/lit/ds/symlink/tps63030.pdf</x:v>
      </x:c>
      <x:c r="M23" s="137"/>
      <x:c r="N23" s="138" t="n">
        <x:f>IF(OR(H23="",M23=""),0,H23*M23)</x:f>
        <x:v>0</x:v>
      </x:c>
    </x:row>
    <x:row r="24">
      <x:c r="A24" s="152" t="n">
        <x:v>21</x:v>
      </x:c>
      <x:c r="B24" s="113" t="str">
        <x:v>C_PWR_OUT1:C_PWR_OUT2</x:v>
      </x:c>
      <x:c r="C24" s="113" t="str">
        <x:v>Nguồn 3,3 V</x:v>
      </x:c>
      <x:c r="D24" s="114" t="str">
        <x:v>Generic</x:v>
      </x:c>
      <x:c r="E24" s="113" t="str">
        <x:v>–</x:v>
      </x:c>
      <x:c r="F24" s="113" t="str">
        <x:v>10 µF 6,3 V X7R</x:v>
      </x:c>
      <x:c r="G24" s="113" t="str">
        <x:v>0603</x:v>
      </x:c>
      <x:c r="H24" s="155" t="n">
        <x:v>2</x:v>
      </x:c>
      <x:c r="I24" s="155" t="str">
        <x:v>Main</x:v>
      </x:c>
      <x:c r="J24" s="155" t="str">
        <x:v>Đã chốt</x:v>
      </x:c>
      <x:c r="K24" s="113" t="str">
        <x:v>–</x:v>
      </x:c>
      <x:c r="L24" s="113" t="str">
        <x:v>https://www.ti.com/lit/ds/symlink/tps63030.pdf</x:v>
      </x:c>
      <x:c r="M24" s="137"/>
      <x:c r="N24" s="138" t="n">
        <x:f>IF(OR(H24="",M24=""),0,H24*M24)</x:f>
        <x:v>0</x:v>
      </x:c>
    </x:row>
    <x:row r="25">
      <x:c r="A25" s="152" t="n">
        <x:v>22</x:v>
      </x:c>
      <x:c r="B25" s="113" t="str">
        <x:v>C_PWR_HF</x:v>
      </x:c>
      <x:c r="C25" s="113" t="str">
        <x:v>Nguồn 3,3 V</x:v>
      </x:c>
      <x:c r="D25" s="114" t="str">
        <x:v>Generic</x:v>
      </x:c>
      <x:c r="E25" s="113" t="str">
        <x:v>–</x:v>
      </x:c>
      <x:c r="F25" s="113" t="str">
        <x:v>100 nF X7R</x:v>
      </x:c>
      <x:c r="G25" s="113" t="str">
        <x:v>0402</x:v>
      </x:c>
      <x:c r="H25" s="155" t="n">
        <x:v>1</x:v>
      </x:c>
      <x:c r="I25" s="155" t="str">
        <x:v>Main</x:v>
      </x:c>
      <x:c r="J25" s="155" t="str">
        <x:v>Đã chốt</x:v>
      </x:c>
      <x:c r="K25" s="113" t="str">
        <x:v>–</x:v>
      </x:c>
      <x:c r="L25" s="113" t="str"/>
      <x:c r="M25" s="137"/>
      <x:c r="N25" s="138" t="n">
        <x:f>IF(OR(H25="",M25=""),0,H25*M25)</x:f>
        <x:v>0</x:v>
      </x:c>
    </x:row>
    <x:row r="26">
      <x:c r="A26" s="152" t="n">
        <x:v>23</x:v>
      </x:c>
      <x:c r="B26" s="113" t="str">
        <x:v>FB_SENSOR</x:v>
      </x:c>
      <x:c r="C26" s="113" t="str">
        <x:v>Lọc cảm biến</x:v>
      </x:c>
      <x:c r="D26" s="114" t="str">
        <x:v>BLM18AG601SN1D</x:v>
      </x:c>
      <x:c r="E26" s="113" t="str">
        <x:v>Murata</x:v>
      </x:c>
      <x:c r="F26" s="113" t="str">
        <x:v>Ferrite bead 600 Ω @ 100 MHz</x:v>
      </x:c>
      <x:c r="G26" s="113" t="str">
        <x:v>0603</x:v>
      </x:c>
      <x:c r="H26" s="155" t="n">
        <x:v>1</x:v>
      </x:c>
      <x:c r="I26" s="155" t="str">
        <x:v>Main</x:v>
      </x:c>
      <x:c r="J26" s="155" t="str">
        <x:v>Đã chốt</x:v>
      </x:c>
      <x:c r="K26" s="113" t="str">
        <x:v>BLM18PG601SN1D</x:v>
      </x:c>
      <x:c r="L26" s="113" t="str">
        <x:v>https://www.murata.com/en-us/products/productdetail?partno=BLM18AG601SN1%23</x:v>
      </x:c>
      <x:c r="M26" s="137"/>
      <x:c r="N26" s="138" t="n">
        <x:f>IF(OR(H26="",M26=""),0,H26*M26)</x:f>
        <x:v>0</x:v>
      </x:c>
    </x:row>
    <x:row r="27">
      <x:c r="A27" s="152" t="n">
        <x:v>24</x:v>
      </x:c>
      <x:c r="B27" s="113" t="str">
        <x:v>C_SEN1:C_SEN3</x:v>
      </x:c>
      <x:c r="C27" s="113" t="str">
        <x:v>Lọc cảm biến</x:v>
      </x:c>
      <x:c r="D27" s="114" t="str">
        <x:v>Generic</x:v>
      </x:c>
      <x:c r="E27" s="113" t="str">
        <x:v>–</x:v>
      </x:c>
      <x:c r="F27" s="113" t="str">
        <x:v>10 µF + 1 µF + 100 nF</x:v>
      </x:c>
      <x:c r="G27" s="113" t="str">
        <x:v>0603/0402</x:v>
      </x:c>
      <x:c r="H27" s="155" t="n">
        <x:v>3</x:v>
      </x:c>
      <x:c r="I27" s="155" t="str">
        <x:v>Main/Probe</x:v>
      </x:c>
      <x:c r="J27" s="155" t="str">
        <x:v>Đã chốt</x:v>
      </x:c>
      <x:c r="K27" s="113" t="str">
        <x:v>–</x:v>
      </x:c>
      <x:c r="L27" s="113" t="str"/>
      <x:c r="M27" s="137"/>
      <x:c r="N27" s="138" t="n">
        <x:f>IF(OR(H27="",M27=""),0,H27*M27)</x:f>
        <x:v>0</x:v>
      </x:c>
    </x:row>
    <x:row r="28">
      <x:c r="A28" s="152" t="n">
        <x:v>25</x:v>
      </x:c>
      <x:c r="B28" s="113" t="str">
        <x:v>U_SENSOR</x:v>
      </x:c>
      <x:c r="C28" s="113" t="str">
        <x:v>Cảm biến</x:v>
      </x:c>
      <x:c r="D28" s="114" t="str">
        <x:v>TMP117MAIDRVR</x:v>
      </x:c>
      <x:c r="E28" s="113" t="str">
        <x:v>Texas Instruments</x:v>
      </x:c>
      <x:c r="F28" s="113" t="str">
        <x:v>Cảm biến nhiệt độ số ±0,1 °C</x:v>
      </x:c>
      <x:c r="G28" s="113" t="str">
        <x:v>WSON-6 2x2</x:v>
      </x:c>
      <x:c r="H28" s="155" t="n">
        <x:v>1</x:v>
      </x:c>
      <x:c r="I28" s="155" t="str">
        <x:v>Probe</x:v>
      </x:c>
      <x:c r="J28" s="155" t="str">
        <x:v>Đã chốt</x:v>
      </x:c>
      <x:c r="K28" s="113" t="str">
        <x:v>TMP117NAIDRVR</x:v>
      </x:c>
      <x:c r="L28" s="113" t="str">
        <x:v>https://www.ti.com/product/TMP117/part-details/TMP117MAIDRVR</x:v>
      </x:c>
      <x:c r="M28" s="137"/>
      <x:c r="N28" s="138" t="n">
        <x:f>IF(OR(H28="",M28=""),0,H28*M28)</x:f>
        <x:v>0</x:v>
      </x:c>
    </x:row>
    <x:row r="29">
      <x:c r="A29" s="152" t="n">
        <x:v>26</x:v>
      </x:c>
      <x:c r="B29" s="113" t="str">
        <x:v>R_SDA_PU,R_SCL_PU</x:v>
      </x:c>
      <x:c r="C29" s="113" t="str">
        <x:v>I2C</x:v>
      </x:c>
      <x:c r="D29" s="114" t="str">
        <x:v>Generic</x:v>
      </x:c>
      <x:c r="E29" s="113" t="str">
        <x:v>–</x:v>
      </x:c>
      <x:c r="F29" s="113" t="str">
        <x:v>4,7 kΩ 1% pull-up I2C</x:v>
      </x:c>
      <x:c r="G29" s="113" t="str">
        <x:v>0402</x:v>
      </x:c>
      <x:c r="H29" s="155" t="n">
        <x:v>2</x:v>
      </x:c>
      <x:c r="I29" s="155" t="str">
        <x:v>Main</x:v>
      </x:c>
      <x:c r="J29" s="155" t="str">
        <x:v>Đã chốt</x:v>
      </x:c>
      <x:c r="K29" s="113" t="str">
        <x:v>2,2–10 kΩ sau đo rise time</x:v>
      </x:c>
      <x:c r="L29" s="113" t="str"/>
      <x:c r="M29" s="137"/>
      <x:c r="N29" s="138" t="n">
        <x:f>IF(OR(H29="",M29=""),0,H29*M29)</x:f>
        <x:v>0</x:v>
      </x:c>
    </x:row>
    <x:row r="30">
      <x:c r="A30" s="152" t="n">
        <x:v>27</x:v>
      </x:c>
      <x:c r="B30" s="113" t="str">
        <x:v>R_SDA_SER,R_SCL_SER</x:v>
      </x:c>
      <x:c r="C30" s="113" t="str">
        <x:v>I2C</x:v>
      </x:c>
      <x:c r="D30" s="114" t="str">
        <x:v>Generic</x:v>
      </x:c>
      <x:c r="E30" s="113" t="str">
        <x:v>–</x:v>
      </x:c>
      <x:c r="F30" s="113" t="str">
        <x:v>68 Ω series chống ringing/EMI</x:v>
      </x:c>
      <x:c r="G30" s="113" t="str">
        <x:v>0402</x:v>
      </x:c>
      <x:c r="H30" s="155" t="n">
        <x:v>2</x:v>
      </x:c>
      <x:c r="I30" s="155" t="str">
        <x:v>Main</x:v>
      </x:c>
      <x:c r="J30" s="155" t="str">
        <x:v>Đã chốt</x:v>
      </x:c>
      <x:c r="K30" s="113" t="str">
        <x:v>22–100 Ω; thay từng cấu hình A/B</x:v>
      </x:c>
      <x:c r="L30" s="113" t="str"/>
      <x:c r="M30" s="137"/>
      <x:c r="N30" s="138" t="n">
        <x:f>IF(OR(H30="",M30=""),0,H30*M30)</x:f>
        <x:v>0</x:v>
      </x:c>
    </x:row>
    <x:row r="31">
      <x:c r="A31" s="152" t="n">
        <x:v>28</x:v>
      </x:c>
      <x:c r="B31" s="113" t="str">
        <x:v>D_I2C</x:v>
      </x:c>
      <x:c r="C31" s="113" t="str">
        <x:v>I2C</x:v>
      </x:c>
      <x:c r="D31" s="114" t="str">
        <x:v>TPD2E001DRLR</x:v>
      </x:c>
      <x:c r="E31" s="113" t="str">
        <x:v>Texas Instruments</x:v>
      </x:c>
      <x:c r="F31" s="113" t="str">
        <x:v>TVS 2 kênh điện dung thấp tại connector</x:v>
      </x:c>
      <x:c r="G31" s="113" t="str">
        <x:v>SOT-5</x:v>
      </x:c>
      <x:c r="H31" s="155" t="n">
        <x:v>1</x:v>
      </x:c>
      <x:c r="I31" s="155" t="str">
        <x:v>Main</x:v>
      </x:c>
      <x:c r="J31" s="155" t="str">
        <x:v>Cần xác nhận</x:v>
      </x:c>
      <x:c r="K31" s="113" t="str">
        <x:v>PESD5V0S2UL</x:v>
      </x:c>
      <x:c r="L31" s="113" t="str">
        <x:v>https://www.ti.com/product/TPD2E001</x:v>
      </x:c>
      <x:c r="M31" s="137"/>
      <x:c r="N31" s="138" t="n">
        <x:f>IF(OR(H31="",M31=""),0,H31*M31)</x:f>
        <x:v>0</x:v>
      </x:c>
    </x:row>
    <x:row r="32">
      <x:c r="A32" s="152" t="n">
        <x:v>29</x:v>
      </x:c>
      <x:c r="B32" s="113" t="str">
        <x:v>J_PROBE</x:v>
      </x:c>
      <x:c r="C32" s="113" t="str">
        <x:v>Kết nối probe</x:v>
      </x:c>
      <x:c r="D32" s="114" t="str">
        <x:v>B6B-PH-K-S(LF)(SN)</x:v>
      </x:c>
      <x:c r="E32" s="113" t="str">
        <x:v>JST</x:v>
      </x:c>
      <x:c r="F32" s="113" t="str">
        <x:v>Header 6 chân 2,0 mm</x:v>
      </x:c>
      <x:c r="G32" s="113" t="str">
        <x:v>TH</x:v>
      </x:c>
      <x:c r="H32" s="155" t="n">
        <x:v>1</x:v>
      </x:c>
      <x:c r="I32" s="155" t="str">
        <x:v>Main</x:v>
      </x:c>
      <x:c r="J32" s="155" t="str">
        <x:v>Cần xác nhận</x:v>
      </x:c>
      <x:c r="K32" s="113" t="str">
        <x:v>JST SH 6-pin nếu cần nhỏ hơn</x:v>
      </x:c>
      <x:c r="L32" s="113" t="str">
        <x:v>https://www.jst-mfg.com/product/index.php?series=199</x:v>
      </x:c>
      <x:c r="M32" s="137"/>
      <x:c r="N32" s="138" t="n">
        <x:f>IF(OR(H32="",M32=""),0,H32*M32)</x:f>
        <x:v>0</x:v>
      </x:c>
    </x:row>
    <x:row r="33">
      <x:c r="A33" s="152" t="n">
        <x:v>30</x:v>
      </x:c>
      <x:c r="B33" s="113" t="str">
        <x:v>J_PROBE_CABLE</x:v>
      </x:c>
      <x:c r="C33" s="113" t="str">
        <x:v>Kết nối probe</x:v>
      </x:c>
      <x:c r="D33" s="114" t="str">
        <x:v>PHR-6 + SPH-002T-P0.5S</x:v>
      </x:c>
      <x:c r="E33" s="113" t="str">
        <x:v>JST</x:v>
      </x:c>
      <x:c r="F33" s="113" t="str">
        <x:v>Housing + terminal cho cáp đầu dò</x:v>
      </x:c>
      <x:c r="G33" s="113" t="str">
        <x:v>Cable</x:v>
      </x:c>
      <x:c r="H33" s="155" t="n">
        <x:v>1</x:v>
      </x:c>
      <x:c r="I33" s="155" t="str">
        <x:v>External</x:v>
      </x:c>
      <x:c r="J33" s="155" t="str">
        <x:v>Cần xác nhận</x:v>
      </x:c>
      <x:c r="K33" s="113" t="str">
        <x:v>Cáp lắp sẵn tương đương</x:v>
      </x:c>
      <x:c r="L33" s="113" t="str">
        <x:v>https://www.jst-mfg.com/product/index.php?series=199</x:v>
      </x:c>
      <x:c r="M33" s="137"/>
      <x:c r="N33" s="138" t="n">
        <x:f>IF(OR(H33="",M33=""),0,H33*M33)</x:f>
        <x:v>0</x:v>
      </x:c>
    </x:row>
    <x:row r="34">
      <x:c r="A34" s="152" t="n">
        <x:v>31</x:v>
      </x:c>
      <x:c r="B34" s="113" t="str">
        <x:v>U_SR1,U_SR2</x:v>
      </x:c>
      <x:c r="C34" s="113" t="str">
        <x:v>Hiển thị</x:v>
      </x:c>
      <x:c r="D34" s="114" t="str">
        <x:v>SN74HC595PWR</x:v>
      </x:c>
      <x:c r="E34" s="113" t="str">
        <x:v>Texas Instruments</x:v>
      </x:c>
      <x:c r="F34" s="113" t="str">
        <x:v>Shift register 8-bit, dùng hai IC nối tiếp</x:v>
      </x:c>
      <x:c r="G34" s="113" t="str">
        <x:v>TSSOP-16</x:v>
      </x:c>
      <x:c r="H34" s="155" t="n">
        <x:v>2</x:v>
      </x:c>
      <x:c r="I34" s="155" t="str">
        <x:v>Main</x:v>
      </x:c>
      <x:c r="J34" s="155" t="str">
        <x:v>Đã chốt</x:v>
      </x:c>
      <x:c r="K34" s="113" t="str">
        <x:v>SN74AHC595PWR</x:v>
      </x:c>
      <x:c r="L34" s="113" t="str">
        <x:v>https://www.ti.com/product/SN74HC595</x:v>
      </x:c>
      <x:c r="M34" s="137"/>
      <x:c r="N34" s="138" t="n">
        <x:f>IF(OR(H34="",M34=""),0,H34*M34)</x:f>
        <x:v>0</x:v>
      </x:c>
    </x:row>
    <x:row r="35">
      <x:c r="A35" s="152" t="n">
        <x:v>32</x:v>
      </x:c>
      <x:c r="B35" s="113" t="str">
        <x:v>C_SR1,C_SR2</x:v>
      </x:c>
      <x:c r="C35" s="113" t="str">
        <x:v>Hiển thị</x:v>
      </x:c>
      <x:c r="D35" s="114" t="str">
        <x:v>Generic</x:v>
      </x:c>
      <x:c r="E35" s="113" t="str">
        <x:v>–</x:v>
      </x:c>
      <x:c r="F35" s="113" t="str">
        <x:v>100 nF X7R decoupling</x:v>
      </x:c>
      <x:c r="G35" s="113" t="str">
        <x:v>0402</x:v>
      </x:c>
      <x:c r="H35" s="155" t="n">
        <x:v>2</x:v>
      </x:c>
      <x:c r="I35" s="155" t="str">
        <x:v>Main</x:v>
      </x:c>
      <x:c r="J35" s="155" t="str">
        <x:v>Đã chốt</x:v>
      </x:c>
      <x:c r="K35" s="113" t="str">
        <x:v>–</x:v>
      </x:c>
      <x:c r="L35" s="113" t="str"/>
      <x:c r="M35" s="137"/>
      <x:c r="N35" s="138" t="n">
        <x:f>IF(OR(H35="",M35=""),0,H35*M35)</x:f>
        <x:v>0</x:v>
      </x:c>
    </x:row>
    <x:row r="36">
      <x:c r="A36" s="152" t="n">
        <x:v>33</x:v>
      </x:c>
      <x:c r="B36" s="113" t="str">
        <x:v>DS1</x:v>
      </x:c>
      <x:c r="C36" s="113" t="str">
        <x:v>Hiển thị</x:v>
      </x:c>
      <x:c r="D36" s="114" t="str">
        <x:v>3461AS-compatible</x:v>
      </x:c>
      <x:c r="E36" s="113" t="str">
        <x:v>TBD</x:v>
      </x:c>
      <x:c r="F36" s="113" t="str">
        <x:v>LED 7 đoạn 4 số, common cathode, đỏ</x:v>
      </x:c>
      <x:c r="G36" s="113" t="str">
        <x:v>12-pin TH</x:v>
      </x:c>
      <x:c r="H36" s="155" t="n">
        <x:v>1</x:v>
      </x:c>
      <x:c r="I36" s="155" t="str">
        <x:v>Main</x:v>
      </x:c>
      <x:c r="J36" s="155" t="str">
        <x:v>Cần xác nhận</x:v>
      </x:c>
      <x:c r="K36" s="113" t="str">
        <x:v>Loại cùng sơ đồ chân và common cathode</x:v>
      </x:c>
      <x:c r="L36" s="113" t="str"/>
      <x:c r="M36" s="137"/>
      <x:c r="N36" s="138" t="n">
        <x:f>IF(OR(H36="",M36=""),0,H36*M36)</x:f>
        <x:v>0</x:v>
      </x:c>
    </x:row>
    <x:row r="37">
      <x:c r="A37" s="152" t="n">
        <x:v>34</x:v>
      </x:c>
      <x:c r="B37" s="113" t="str">
        <x:v>R_SEG_A:R_SEG_DP</x:v>
      </x:c>
      <x:c r="C37" s="113" t="str">
        <x:v>Hiển thị</x:v>
      </x:c>
      <x:c r="D37" s="114" t="str">
        <x:v>Generic</x:v>
      </x:c>
      <x:c r="E37" s="113" t="str">
        <x:v>–</x:v>
      </x:c>
      <x:c r="F37" s="113" t="str">
        <x:v>330 Ω hạn dòng segment; kiểm tra độ sáng ở 3,3 V</x:v>
      </x:c>
      <x:c r="G37" s="113" t="str">
        <x:v>0402/0603</x:v>
      </x:c>
      <x:c r="H37" s="155" t="n">
        <x:v>8</x:v>
      </x:c>
      <x:c r="I37" s="155" t="str">
        <x:v>Main</x:v>
      </x:c>
      <x:c r="J37" s="155" t="str">
        <x:v>Cần xác nhận</x:v>
      </x:c>
      <x:c r="K37" s="113" t="str">
        <x:v>220–680 Ω sau đo</x:v>
      </x:c>
      <x:c r="L37" s="113" t="str"/>
      <x:c r="M37" s="137"/>
      <x:c r="N37" s="138" t="n">
        <x:f>IF(OR(H37="",M37=""),0,H37*M37)</x:f>
        <x:v>0</x:v>
      </x:c>
    </x:row>
    <x:row r="38">
      <x:c r="A38" s="152" t="n">
        <x:v>35</x:v>
      </x:c>
      <x:c r="B38" s="113" t="str">
        <x:v>Q_DIG1:Q_DIG4</x:v>
      </x:c>
      <x:c r="C38" s="113" t="str">
        <x:v>Hiển thị</x:v>
      </x:c>
      <x:c r="D38" s="114" t="str">
        <x:v>MMBT3904</x:v>
      </x:c>
      <x:c r="E38" s="113" t="str">
        <x:v>onsemi/Equivalent</x:v>
      </x:c>
      <x:c r="F38" s="113" t="str">
        <x:v>NPN chọn digit common cathode</x:v>
      </x:c>
      <x:c r="G38" s="113" t="str">
        <x:v>SOT-23</x:v>
      </x:c>
      <x:c r="H38" s="155" t="n">
        <x:v>4</x:v>
      </x:c>
      <x:c r="I38" s="155" t="str">
        <x:v>Main</x:v>
      </x:c>
      <x:c r="J38" s="155" t="str">
        <x:v>Đã chốt</x:v>
      </x:c>
      <x:c r="K38" s="113" t="str">
        <x:v>BC847B</x:v>
      </x:c>
      <x:c r="L38" s="113" t="str"/>
      <x:c r="M38" s="137"/>
      <x:c r="N38" s="138" t="n">
        <x:f>IF(OR(H38="",M38=""),0,H38*M38)</x:f>
        <x:v>0</x:v>
      </x:c>
    </x:row>
    <x:row r="39">
      <x:c r="A39" s="152" t="n">
        <x:v>36</x:v>
      </x:c>
      <x:c r="B39" s="113" t="str">
        <x:v>R_DIG1:R_DIG4</x:v>
      </x:c>
      <x:c r="C39" s="113" t="str">
        <x:v>Hiển thị</x:v>
      </x:c>
      <x:c r="D39" s="114" t="str">
        <x:v>Generic</x:v>
      </x:c>
      <x:c r="E39" s="113" t="str">
        <x:v>–</x:v>
      </x:c>
      <x:c r="F39" s="113" t="str">
        <x:v>4,7 kΩ điện trở base transistor digit</x:v>
      </x:c>
      <x:c r="G39" s="113" t="str">
        <x:v>0402</x:v>
      </x:c>
      <x:c r="H39" s="155" t="n">
        <x:v>4</x:v>
      </x:c>
      <x:c r="I39" s="155" t="str">
        <x:v>Main</x:v>
      </x:c>
      <x:c r="J39" s="155" t="str">
        <x:v>Đã chốt</x:v>
      </x:c>
      <x:c r="K39" s="113" t="str">
        <x:v>2,2–10 kΩ sau đo</x:v>
      </x:c>
      <x:c r="L39" s="113" t="str"/>
      <x:c r="M39" s="137"/>
      <x:c r="N39" s="138" t="n">
        <x:f>IF(OR(H39="",M39=""),0,H39*M39)</x:f>
        <x:v>0</x:v>
      </x:c>
    </x:row>
    <x:row r="40">
      <x:c r="A40" s="152" t="n">
        <x:v>37</x:v>
      </x:c>
      <x:c r="B40" s="113" t="str">
        <x:v>D_STATUS</x:v>
      </x:c>
      <x:c r="C40" s="113" t="str">
        <x:v>I/O</x:v>
      </x:c>
      <x:c r="D40" s="114" t="str">
        <x:v>LTST-C190KRKT</x:v>
      </x:c>
      <x:c r="E40" s="113" t="str">
        <x:v>Lite-On</x:v>
      </x:c>
      <x:c r="F40" s="113" t="str">
        <x:v>LED đỏ trạng thái</x:v>
      </x:c>
      <x:c r="G40" s="113" t="str">
        <x:v>0603</x:v>
      </x:c>
      <x:c r="H40" s="155" t="n">
        <x:v>1</x:v>
      </x:c>
      <x:c r="I40" s="155" t="str">
        <x:v>Main</x:v>
      </x:c>
      <x:c r="J40" s="155" t="str">
        <x:v>Cần xác nhận</x:v>
      </x:c>
      <x:c r="K40" s="113" t="str">
        <x:v>LED 0603 đỏ tương đương</x:v>
      </x:c>
      <x:c r="L40" s="113" t="str"/>
      <x:c r="M40" s="137"/>
      <x:c r="N40" s="138" t="n">
        <x:f>IF(OR(H40="",M40=""),0,H40*M40)</x:f>
        <x:v>0</x:v>
      </x:c>
    </x:row>
    <x:row r="41">
      <x:c r="A41" s="152" t="n">
        <x:v>38</x:v>
      </x:c>
      <x:c r="B41" s="113" t="str">
        <x:v>R_STATUS</x:v>
      </x:c>
      <x:c r="C41" s="113" t="str">
        <x:v>I/O</x:v>
      </x:c>
      <x:c r="D41" s="114" t="str">
        <x:v>Generic</x:v>
      </x:c>
      <x:c r="E41" s="113" t="str">
        <x:v>–</x:v>
      </x:c>
      <x:c r="F41" s="113" t="str">
        <x:v>1 kΩ hạn dòng LED trạng thái</x:v>
      </x:c>
      <x:c r="G41" s="113" t="str">
        <x:v>0402</x:v>
      </x:c>
      <x:c r="H41" s="155" t="n">
        <x:v>1</x:v>
      </x:c>
      <x:c r="I41" s="155" t="str">
        <x:v>Main</x:v>
      </x:c>
      <x:c r="J41" s="155" t="str">
        <x:v>Đã chốt</x:v>
      </x:c>
      <x:c r="K41" s="113" t="str">
        <x:v>680 Ω–2,2 kΩ</x:v>
      </x:c>
      <x:c r="L41" s="113" t="str"/>
      <x:c r="M41" s="137"/>
      <x:c r="N41" s="138" t="n">
        <x:f>IF(OR(H41="",M41=""),0,H41*M41)</x:f>
        <x:v>0</x:v>
      </x:c>
    </x:row>
    <x:row r="42">
      <x:c r="A42" s="152" t="n">
        <x:v>39</x:v>
      </x:c>
      <x:c r="B42" s="113" t="str">
        <x:v>BZ1</x:v>
      </x:c>
      <x:c r="C42" s="113" t="str">
        <x:v>I/O</x:v>
      </x:c>
      <x:c r="D42" s="114" t="str">
        <x:v>TMB12A03</x:v>
      </x:c>
      <x:c r="E42" s="113" t="str">
        <x:v>TBD</x:v>
      </x:c>
      <x:c r="F42" s="113" t="str">
        <x:v>Buzzer chủ động 3 V</x:v>
      </x:c>
      <x:c r="G42" s="113" t="str">
        <x:v>SMD/TH</x:v>
      </x:c>
      <x:c r="H42" s="155" t="n">
        <x:v>1</x:v>
      </x:c>
      <x:c r="I42" s="155" t="str">
        <x:v>Main</x:v>
      </x:c>
      <x:c r="J42" s="155" t="str">
        <x:v>Cần xác nhận</x:v>
      </x:c>
      <x:c r="K42" s="113" t="str">
        <x:v>Buzzer 3,3 V tương đương</x:v>
      </x:c>
      <x:c r="L42" s="113" t="str"/>
      <x:c r="M42" s="137"/>
      <x:c r="N42" s="138" t="n">
        <x:f>IF(OR(H42="",M42=""),0,H42*M42)</x:f>
        <x:v>0</x:v>
      </x:c>
    </x:row>
    <x:row r="43">
      <x:c r="A43" s="152" t="n">
        <x:v>40</x:v>
      </x:c>
      <x:c r="B43" s="113" t="str">
        <x:v>Q_BUZ,R_BUZ</x:v>
      </x:c>
      <x:c r="C43" s="113" t="str">
        <x:v>I/O</x:v>
      </x:c>
      <x:c r="D43" s="114" t="str">
        <x:v>MMBT3904 + 4,7 kΩ</x:v>
      </x:c>
      <x:c r="E43" s="113" t="str">
        <x:v>onsemi/Equivalent</x:v>
      </x:c>
      <x:c r="F43" s="113" t="str">
        <x:v>Driver buzzer</x:v>
      </x:c>
      <x:c r="G43" s="113" t="str">
        <x:v>SOT-23 + 0402</x:v>
      </x:c>
      <x:c r="H43" s="155" t="n">
        <x:v>2</x:v>
      </x:c>
      <x:c r="I43" s="155" t="str">
        <x:v>Main</x:v>
      </x:c>
      <x:c r="J43" s="155" t="str">
        <x:v>Đã chốt</x:v>
      </x:c>
      <x:c r="K43" s="113" t="str">
        <x:v>BC847B</x:v>
      </x:c>
      <x:c r="L43" s="113" t="str"/>
      <x:c r="M43" s="137"/>
      <x:c r="N43" s="138" t="n">
        <x:f>IF(OR(H43="",M43=""),0,H43*M43)</x:f>
        <x:v>0</x:v>
      </x:c>
    </x:row>
    <x:row r="44">
      <x:c r="A44" s="152" t="n">
        <x:v>41</x:v>
      </x:c>
      <x:c r="B44" s="113" t="str">
        <x:v>J_RF</x:v>
      </x:c>
      <x:c r="C44" s="113" t="str">
        <x:v>RF</x:v>
      </x:c>
      <x:c r="D44" s="114" t="str">
        <x:v>U.FL-R-SMT-1(80)</x:v>
      </x:c>
      <x:c r="E44" s="113" t="str">
        <x:v>Hirose</x:v>
      </x:c>
      <x:c r="F44" s="113" t="str">
        <x:v>Connector RF 50 Ω</x:v>
      </x:c>
      <x:c r="G44" s="113" t="str">
        <x:v>U.FL SMD</x:v>
      </x:c>
      <x:c r="H44" s="155" t="n">
        <x:v>1</x:v>
      </x:c>
      <x:c r="I44" s="155" t="str">
        <x:v>Main</x:v>
      </x:c>
      <x:c r="J44" s="155" t="str">
        <x:v>Đã chốt</x:v>
      </x:c>
      <x:c r="K44" s="113" t="str">
        <x:v>U.FL-R-SMT-K nếu đổi footprint</x:v>
      </x:c>
      <x:c r="L44" s="113" t="str">
        <x:v>https://www.hirose.com/product/series/U.FL</x:v>
      </x:c>
      <x:c r="M44" s="137"/>
      <x:c r="N44" s="138" t="n">
        <x:f>IF(OR(H44="",M44=""),0,H44*M44)</x:f>
        <x:v>0</x:v>
      </x:c>
    </x:row>
    <x:row r="45">
      <x:c r="A45" s="152" t="n">
        <x:v>42</x:v>
      </x:c>
      <x:c r="B45" s="113" t="str">
        <x:v>C_RF1,L_RF1,C_RF2</x:v>
      </x:c>
      <x:c r="C45" s="113" t="str">
        <x:v>RF</x:v>
      </x:c>
      <x:c r="D45" s="114" t="str">
        <x:v>DNP/TBD</x:v>
      </x:c>
      <x:c r="E45" s="113" t="str">
        <x:v>–</x:v>
      </x:c>
      <x:c r="F45" s="113" t="str">
        <x:v>Mạch C-L-C gần LNA_IN</x:v>
      </x:c>
      <x:c r="G45" s="113" t="str">
        <x:v>0402</x:v>
      </x:c>
      <x:c r="H45" s="155" t="n">
        <x:v>3</x:v>
      </x:c>
      <x:c r="I45" s="155" t="str">
        <x:v>Main</x:v>
      </x:c>
      <x:c r="J45" s="155" t="str">
        <x:v>Cần xác nhận</x:v>
      </x:c>
      <x:c r="K45" s="113" t="str">
        <x:v>Giá trị theo tuning/reference</x:v>
      </x:c>
      <x:c r="L45" s="113" t="str">
        <x:v>https://docs.espressif.com/projects/esp-hardware-design-guidelines/en/latest/esp32c3/schematic-checklist.html</x:v>
      </x:c>
      <x:c r="M45" s="137"/>
      <x:c r="N45" s="138" t="n">
        <x:f>IF(OR(H45="",M45=""),0,H45*M45)</x:f>
        <x:v>0</x:v>
      </x:c>
    </x:row>
    <x:row r="46">
      <x:c r="A46" s="152" t="n">
        <x:v>43</x:v>
      </x:c>
      <x:c r="B46" s="113" t="str">
        <x:v>C_ANT1,L_ANT1,C_ANT2</x:v>
      </x:c>
      <x:c r="C46" s="113" t="str">
        <x:v>RF</x:v>
      </x:c>
      <x:c r="D46" s="114" t="str">
        <x:v>DNP/TBD</x:v>
      </x:c>
      <x:c r="E46" s="113" t="str">
        <x:v>–</x:v>
      </x:c>
      <x:c r="F46" s="113" t="str">
        <x:v>Mạch C-L-C gần U.FL</x:v>
      </x:c>
      <x:c r="G46" s="113" t="str">
        <x:v>0402</x:v>
      </x:c>
      <x:c r="H46" s="155" t="n">
        <x:v>3</x:v>
      </x:c>
      <x:c r="I46" s="155" t="str">
        <x:v>Main</x:v>
      </x:c>
      <x:c r="J46" s="155" t="str">
        <x:v>Cần xác nhận</x:v>
      </x:c>
      <x:c r="K46" s="113" t="str">
        <x:v>Giá trị sau tuning</x:v>
      </x:c>
      <x:c r="L46" s="113" t="str">
        <x:v>https://docs.espressif.com/projects/esp-hardware-design-guidelines/en/latest/esp32c3/schematic-checklist.html</x:v>
      </x:c>
      <x:c r="M46" s="137"/>
      <x:c r="N46" s="138" t="n">
        <x:f>IF(OR(H46="",M46=""),0,H46*M46)</x:f>
        <x:v>0</x:v>
      </x:c>
    </x:row>
    <x:row r="47">
      <x:c r="A47" s="152" t="n">
        <x:v>44</x:v>
      </x:c>
      <x:c r="B47" s="113" t="str">
        <x:v>ANT1</x:v>
      </x:c>
      <x:c r="C47" s="113" t="str">
        <x:v>RF</x:v>
      </x:c>
      <x:c r="D47" s="114" t="str">
        <x:v>TBD-2.4GHz-UFL</x:v>
      </x:c>
      <x:c r="E47" s="113" t="str">
        <x:v>TBD</x:v>
      </x:c>
      <x:c r="F47" s="113" t="str">
        <x:v>Anten rời 2,4 GHz, 50 Ω, đầu U.FL</x:v>
      </x:c>
      <x:c r="G47" s="113" t="str">
        <x:v>External</x:v>
      </x:c>
      <x:c r="H47" s="155" t="n">
        <x:v>1</x:v>
      </x:c>
      <x:c r="I47" s="155" t="str">
        <x:v>External</x:v>
      </x:c>
      <x:c r="J47" s="155" t="str">
        <x:v>Cần xác nhận</x:v>
      </x:c>
      <x:c r="K47" s="113" t="str">
        <x:v>Anten flex/stick 2,4 GHz có datasheet</x:v>
      </x:c>
      <x:c r="L47" s="113" t="str"/>
      <x:c r="M47" s="137"/>
      <x:c r="N47" s="138" t="n">
        <x:f>IF(OR(H47="",M47=""),0,H47*M47)</x:f>
        <x:v>0</x:v>
      </x:c>
    </x:row>
    <x:row r="48">
      <x:c r="A48" s="152" t="n">
        <x:v>45</x:v>
      </x:c>
      <x:c r="B48" s="113" t="str">
        <x:v>TP_*</x:v>
      </x:c>
      <x:c r="C48" s="113" t="str">
        <x:v>Đo kiểm</x:v>
      </x:c>
      <x:c r="D48" s="114" t="str">
        <x:v>5015</x:v>
      </x:c>
      <x:c r="E48" s="113" t="str">
        <x:v>Keystone/Equivalent</x:v>
      </x:c>
      <x:c r="F48" s="113" t="str">
        <x:v>Test point SMD cho VBUS/VBAT/3V3/I2C/UART</x:v>
      </x:c>
      <x:c r="G48" s="113" t="str">
        <x:v>SMD</x:v>
      </x:c>
      <x:c r="H48" s="155" t="n">
        <x:v>10</x:v>
      </x:c>
      <x:c r="I48" s="155" t="str">
        <x:v>Main/Probe</x:v>
      </x:c>
      <x:c r="J48" s="155" t="str">
        <x:v>Cần xác nhận</x:v>
      </x:c>
      <x:c r="K48" s="113" t="str">
        <x:v>Pad test point tự tạo</x:v>
      </x:c>
      <x:c r="L48" s="113" t="str"/>
      <x:c r="M48" s="137"/>
      <x:c r="N48" s="138" t="n">
        <x:f>IF(OR(H48="",M48=""),0,H48*M48)</x:f>
        <x:v>0</x:v>
      </x:c>
    </x:row>
    <x:row r="49">
      <x:c r="A49" s="152" t="n">
        <x:v>46</x:v>
      </x:c>
      <x:c r="B49" s="113" t="str">
        <x:v>R_BYPASS</x:v>
      </x:c>
      <x:c r="C49" s="113" t="str">
        <x:v>EMC tuning</x:v>
      </x:c>
      <x:c r="D49" s="114" t="str">
        <x:v>Generic</x:v>
      </x:c>
      <x:c r="E49" s="113" t="str">
        <x:v>–</x:v>
      </x:c>
      <x:c r="F49" s="113" t="str">
        <x:v>0 Ω jumper bypass ferrite/series</x:v>
      </x:c>
      <x:c r="G49" s="113" t="str">
        <x:v>0402</x:v>
      </x:c>
      <x:c r="H49" s="155" t="n">
        <x:v>3</x:v>
      </x:c>
      <x:c r="I49" s="155" t="str">
        <x:v>Main</x:v>
      </x:c>
      <x:c r="J49" s="155" t="str">
        <x:v>Đã chốt</x:v>
      </x:c>
      <x:c r="K49" s="113" t="str">
        <x:v>DNP mặc định theo schematic</x:v>
      </x:c>
      <x:c r="L49" s="113" t="str"/>
      <x:c r="M49" s="137"/>
      <x:c r="N49" s="138" t="n">
        <x:f>IF(OR(H49="",M49=""),0,H49*M49)</x:f>
        <x:v>0</x:v>
      </x:c>
    </x:row>
    <x:row r="50">
      <x:c r="A50" s="152" t="n">
        <x:v>47</x:v>
      </x:c>
      <x:c r="B50" s="113" t="str">
        <x:v>J_BAT</x:v>
      </x:c>
      <x:c r="C50" s="113" t="str">
        <x:v>Pin</x:v>
      </x:c>
      <x:c r="D50" s="114" t="str">
        <x:v>B2B-PH-K-S(LF)(SN)</x:v>
      </x:c>
      <x:c r="E50" s="113" t="str">
        <x:v>JST</x:v>
      </x:c>
      <x:c r="F50" s="113" t="str">
        <x:v>Connector pin Li-ion 2 chân</x:v>
      </x:c>
      <x:c r="G50" s="113" t="str">
        <x:v>TH</x:v>
      </x:c>
      <x:c r="H50" s="155" t="n">
        <x:v>1</x:v>
      </x:c>
      <x:c r="I50" s="155" t="str">
        <x:v>Main</x:v>
      </x:c>
      <x:c r="J50" s="155" t="str">
        <x:v>Cần xác nhận</x:v>
      </x:c>
      <x:c r="K50" s="113" t="str">
        <x:v>JST PH SMD tương đương</x:v>
      </x:c>
      <x:c r="L50" s="113" t="str"/>
      <x:c r="M50" s="137"/>
      <x:c r="N50" s="138" t="n">
        <x:f>IF(OR(H50="",M50=""),0,H50*M50)</x:f>
        <x:v>0</x:v>
      </x:c>
    </x:row>
    <x:row r="51">
      <x:c r="A51" s="152" t="n">
        <x:v>48</x:v>
      </x:c>
      <x:c r="B51" s="113" t="str">
        <x:v>BAT1</x:v>
      </x:c>
      <x:c r="C51" s="113" t="str">
        <x:v>Pin</x:v>
      </x:c>
      <x:c r="D51" s="114" t="str">
        <x:v>LiPo-3.7V-1000mAh-protected</x:v>
      </x:c>
      <x:c r="E51" s="113" t="str">
        <x:v>TBD</x:v>
      </x:c>
      <x:c r="F51" s="113" t="str">
        <x:v>Pin Li-ion/LiPo có bảo vệ, dung lượng dự kiến 1000 mAh</x:v>
      </x:c>
      <x:c r="G51" s="113" t="str">
        <x:v>External</x:v>
      </x:c>
      <x:c r="H51" s="155" t="n">
        <x:v>1</x:v>
      </x:c>
      <x:c r="I51" s="155" t="str">
        <x:v>External</x:v>
      </x:c>
      <x:c r="J51" s="155" t="str">
        <x:v>Cần xác nhận</x:v>
      </x:c>
      <x:c r="K51" s="113" t="str">
        <x:v>Dung lượng khác sau power budget</x:v>
      </x:c>
      <x:c r="L51" s="113" t="str"/>
      <x:c r="M51" s="137"/>
      <x:c r="N51" s="138" t="n">
        <x:f>IF(OR(H51="",M51=""),0,H51*M51)</x:f>
        <x:v>0</x:v>
      </x:c>
    </x:row>
    <x:row r="52">
      <x:c r="A52" s="152" t="n">
        <x:v>49</x:v>
      </x:c>
      <x:c r="B52" s="113" t="str">
        <x:v>U_SUP</x:v>
      </x:c>
      <x:c r="C52" s="113" t="str">
        <x:v>Reset nguồn</x:v>
      </x:c>
      <x:c r="D52" s="114" t="str">
        <x:v>TLV803EA29DBZR</x:v>
      </x:c>
      <x:c r="E52" s="113" t="str">
        <x:v>Texas Instruments</x:v>
      </x:c>
      <x:c r="F52" s="113" t="str">
        <x:v>Supervisor khoảng 2,9 V; footprint DNP</x:v>
      </x:c>
      <x:c r="G52" s="113" t="str">
        <x:v>SOT-23-3</x:v>
      </x:c>
      <x:c r="H52" s="155" t="n">
        <x:v>1</x:v>
      </x:c>
      <x:c r="I52" s="155" t="str">
        <x:v>Main</x:v>
      </x:c>
      <x:c r="J52" s="155" t="str">
        <x:v>Cần xác nhận</x:v>
      </x:c>
      <x:c r="K52" s="113" t="str">
        <x:v>Supervisor tương đương quanh 3,0 V</x:v>
      </x:c>
      <x:c r="L52" s="113" t="str">
        <x:v>https://www.ti.com/product/TLV803E</x:v>
      </x:c>
      <x:c r="M52" s="137"/>
      <x:c r="N52" s="138" t="n">
        <x:f>IF(OR(H52="",M52=""),0,H52*M52)</x:f>
        <x:v>0</x:v>
      </x:c>
    </x:row>
    <x:row r="53">
      <x:c r="A53" s="153" t="n">
        <x:v>50</x:v>
      </x:c>
      <x:c r="B53" s="117" t="str">
        <x:v>D_VBUS</x:v>
      </x:c>
      <x:c r="C53" s="117" t="str">
        <x:v>Bảo vệ nguồn</x:v>
      </x:c>
      <x:c r="D53" s="118" t="str">
        <x:v>SMF5.0A</x:v>
      </x:c>
      <x:c r="E53" s="117" t="str">
        <x:v>Littelfuse/Equivalent</x:v>
      </x:c>
      <x:c r="F53" s="117" t="str">
        <x:v>TVS VBUS 5 V</x:v>
      </x:c>
      <x:c r="G53" s="117" t="str">
        <x:v>SOD-123FL</x:v>
      </x:c>
      <x:c r="H53" s="156" t="n">
        <x:v>1</x:v>
      </x:c>
      <x:c r="I53" s="156" t="str">
        <x:v>Main</x:v>
      </x:c>
      <x:c r="J53" s="156" t="str">
        <x:v>Cần xác nhận</x:v>
      </x:c>
      <x:c r="K53" s="117" t="str">
        <x:v>PESD5V0U1UL</x:v>
      </x:c>
      <x:c r="L53" s="117" t="str"/>
      <x:c r="M53" s="139"/>
      <x:c r="N53" s="140" t="n">
        <x:f>IF(OR(H53="",M53=""),0,H53*M53)</x:f>
        <x:v>0</x:v>
      </x:c>
    </x:row>
  </x:sheetData>
  <x:mergeCells>
    <x:mergeCell ref="A1:N1"/>
    <x:mergeCell ref="A2:N2"/>
  </x:mergeCells>
  <x:conditionalFormatting sqref="J4:J53">
    <x:cfRule type="containsText" dxfId="4" priority="1" operator="containsText" text="Đã chốt"/>
    <x:cfRule type="containsText" dxfId="5" priority="2" operator="containsText" text="Cần xác nhận"/>
    <x:cfRule type="containsText" dxfId="6" priority="3" operator="containsText" text="Không dùng"/>
  </x:conditionalFormatting>
  <x:dataValidations count="1">
    <x:dataValidation type="list" sqref="J4:J53">
      <x:formula1>"Đã chốt,Cần xác nhận,Không dùng"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5b72ecf0a44dff"/>
  </x:tableParts>
</x:worksheet>
</file>